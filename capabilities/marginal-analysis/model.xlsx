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sumibcay/Desktop/DLEMBA - 8/BUS 620 Economics Foundation for Managers/"/>
    </mc:Choice>
  </mc:AlternateContent>
  <xr:revisionPtr revIDLastSave="0" documentId="8_{A66A5FED-80C7-A54D-9E97-7BACF9D8B04A}" xr6:coauthVersionLast="47" xr6:coauthVersionMax="47" xr10:uidLastSave="{00000000-0000-0000-0000-000000000000}"/>
  <bookViews>
    <workbookView xWindow="780" yWindow="660" windowWidth="28040" windowHeight="16940" activeTab="3" xr2:uid="{40CFC20B-08C8-8047-A0F6-0E48F752943F}"/>
  </bookViews>
  <sheets>
    <sheet name="Inputs" sheetId="2" r:id="rId1"/>
    <sheet name="Labor" sheetId="3" r:id="rId2"/>
    <sheet name="Cost" sheetId="4" r:id="rId3"/>
    <sheet name="Optimization" sheetId="5" r:id="rId4"/>
    <sheet name="Checks" sheetId="6" r:id="rId5"/>
  </sheets>
  <definedNames>
    <definedName name="BED_CAP_CARROT">Inputs!$C$17</definedName>
    <definedName name="BED_CAP_MESCLUN">Inputs!$C$22</definedName>
    <definedName name="BED_CAP_TOMATO">Inputs!$C$12</definedName>
    <definedName name="DIM_PCT_CARROT">Inputs!$C$21</definedName>
    <definedName name="DIM_PCT_MESCLUN">Inputs!$C$26</definedName>
    <definedName name="DIM_PCT_TOMATO">Inputs!$C$16</definedName>
    <definedName name="FARMER_HOURS">Inputs!$C$7</definedName>
    <definedName name="FARMER_WAGE">Inputs!$C$8</definedName>
    <definedName name="FERT_CARROT">Inputs!$C$20</definedName>
    <definedName name="FERT_MESCLUN">Inputs!$C$25</definedName>
    <definedName name="FERT_TOMATO">Inputs!$C$15</definedName>
    <definedName name="FIXED_COST">Inputs!$C$6</definedName>
    <definedName name="HRS_PER_BED_CARROT">Inputs!$C$19</definedName>
    <definedName name="HRS_PER_BED_MESCLUN">Inputs!$C$24</definedName>
    <definedName name="HRS_PER_BED_TOMATO">Inputs!$C$14</definedName>
    <definedName name="LABOR_MODE">Inputs!$C$28</definedName>
    <definedName name="PRICE_CARROT">Inputs!$C$18</definedName>
    <definedName name="PRICE_MESCLUN">Inputs!$C$23</definedName>
    <definedName name="PRICE_TOMATO">Inputs!$C$13</definedName>
    <definedName name="PROFIT">Optimization!$B$22</definedName>
    <definedName name="solver_adj" localSheetId="4" hidden="1">Checks!$B$5:$B$7</definedName>
    <definedName name="solver_adj" localSheetId="3" hidden="1">Optimization!$B$5:$B$7</definedName>
    <definedName name="solver_cvg" localSheetId="3" hidden="1">0.0001</definedName>
    <definedName name="solver_drv" localSheetId="3" hidden="1">1</definedName>
    <definedName name="solver_eng" localSheetId="4" hidden="1">1</definedName>
    <definedName name="solver_eng" localSheetId="3" hidden="1">1</definedName>
    <definedName name="solver_itr" localSheetId="3" hidden="1">2147483647</definedName>
    <definedName name="solver_lhs1" localSheetId="3" hidden="1">Optimization!$B$12</definedName>
    <definedName name="solver_lhs2" localSheetId="3" hidden="1">Optimization!$B$5</definedName>
    <definedName name="solver_lhs3" localSheetId="3" hidden="1">Optimization!$B$5:$B$7</definedName>
    <definedName name="solver_lhs4" localSheetId="3" hidden="1">Optimization!$B$6</definedName>
    <definedName name="solver_lhs5" localSheetId="3" hidden="1">Optimization!$B$7</definedName>
    <definedName name="solver_lhs6" localSheetId="3" hidden="1">Optimization!$B$8</definedName>
    <definedName name="solver_lin" localSheetId="4" hidden="1">2</definedName>
    <definedName name="solver_lin" localSheetId="3" hidden="1">2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1</definedName>
    <definedName name="solver_neg" localSheetId="4" hidden="1">1</definedName>
    <definedName name="solver_neg" localSheetId="3" hidden="1">1</definedName>
    <definedName name="solver_nod" localSheetId="3" hidden="1">2147483647</definedName>
    <definedName name="solver_num" localSheetId="4" hidden="1">0</definedName>
    <definedName name="solver_num" localSheetId="3" hidden="1">6</definedName>
    <definedName name="solver_opt" localSheetId="4" hidden="1">Checks!$B$22</definedName>
    <definedName name="solver_opt" localSheetId="3" hidden="1">Optimization!$B$22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el3" localSheetId="3" hidden="1">4</definedName>
    <definedName name="solver_rel4" localSheetId="3" hidden="1">1</definedName>
    <definedName name="solver_rel5" localSheetId="3" hidden="1">1</definedName>
    <definedName name="solver_rel6" localSheetId="3" hidden="1">1</definedName>
    <definedName name="solver_rhs1" localSheetId="3" hidden="1">Optimization!$C$12</definedName>
    <definedName name="solver_rhs2" localSheetId="3" hidden="1">Optimization!$C$5</definedName>
    <definedName name="solver_rhs3" localSheetId="3" hidden="1">"integer"</definedName>
    <definedName name="solver_rhs4" localSheetId="3" hidden="1">Optimization!$C$6</definedName>
    <definedName name="solver_rhs5" localSheetId="3" hidden="1">Optimization!$C$7</definedName>
    <definedName name="solver_rhs6" localSheetId="3" hidden="1">Optimization!$C$8</definedName>
    <definedName name="solver_rlx" localSheetId="3" hidden="1">2</definedName>
    <definedName name="solver_rsd" localSheetId="3" hidden="1">1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4" hidden="1">1</definedName>
    <definedName name="solver_typ" localSheetId="3" hidden="1">1</definedName>
    <definedName name="solver_val" localSheetId="4" hidden="1">0</definedName>
    <definedName name="solver_val" localSheetId="3" hidden="1">0</definedName>
    <definedName name="solver_ver" localSheetId="4" hidden="1">2</definedName>
    <definedName name="solver_ver" localSheetId="3" hidden="1">2</definedName>
    <definedName name="TEMP_HOURS_PER_WORKER">Inputs!$C$10</definedName>
    <definedName name="TEMP_WAGE">Inputs!$C$11</definedName>
    <definedName name="TEMP_WORKERS_MAX">Inputs!$C$9</definedName>
    <definedName name="TOTAL_BEDS">Inputs!$C$5</definedName>
    <definedName name="WEEKS">Inputs!$C$4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5" l="1"/>
  <c r="D7" i="5" s="1"/>
  <c r="C6" i="5"/>
  <c r="D6" i="5" s="1"/>
  <c r="C5" i="5"/>
  <c r="D5" i="5" s="1"/>
  <c r="C19" i="2"/>
  <c r="C11" i="2"/>
  <c r="C8" i="2"/>
  <c r="C26" i="6" a="1"/>
  <c r="C17" i="6"/>
  <c r="C18" i="6"/>
  <c r="C19" i="6"/>
  <c r="B17" i="6"/>
  <c r="B18" i="6"/>
  <c r="B19" i="6"/>
  <c r="B20" i="6"/>
  <c r="B21" i="6"/>
  <c r="C10" i="6"/>
  <c r="D10" i="6" s="1"/>
  <c r="E10" i="6" s="1"/>
  <c r="C11" i="6"/>
  <c r="D11" i="6" s="1"/>
  <c r="E11" i="6" s="1"/>
  <c r="C12" i="6"/>
  <c r="D12" i="6" s="1"/>
  <c r="E12" i="6" s="1"/>
  <c r="C6" i="6"/>
  <c r="D6" i="6" s="1"/>
  <c r="E6" i="6" s="1"/>
  <c r="B6" i="6"/>
  <c r="C32" i="5"/>
  <c r="C33" i="5"/>
  <c r="C34" i="5"/>
  <c r="D34" i="5" s="1"/>
  <c r="B32" i="5"/>
  <c r="B33" i="5"/>
  <c r="B34" i="5"/>
  <c r="B18" i="5"/>
  <c r="B20" i="5"/>
  <c r="B21" i="5"/>
  <c r="C12" i="5"/>
  <c r="B15" i="5"/>
  <c r="A2" i="6" s="1"/>
  <c r="C8" i="5"/>
  <c r="B8" i="5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53" i="4"/>
  <c r="T53" i="4"/>
  <c r="U53" i="4"/>
  <c r="V53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29" i="4"/>
  <c r="T29" i="4"/>
  <c r="U29" i="4"/>
  <c r="V29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5" i="4"/>
  <c r="T5" i="4"/>
  <c r="U5" i="4"/>
  <c r="V5" i="4"/>
  <c r="G54" i="4"/>
  <c r="H54" i="4"/>
  <c r="G55" i="4"/>
  <c r="H55" i="4"/>
  <c r="B56" i="4" a="1"/>
  <c r="C56" i="4"/>
  <c r="D56" i="4"/>
  <c r="E56" i="4" s="1"/>
  <c r="G56" i="4"/>
  <c r="H56" i="4"/>
  <c r="B57" i="4" a="1"/>
  <c r="G57" i="4"/>
  <c r="H57" i="4"/>
  <c r="B58" i="4" a="1"/>
  <c r="C58" i="4"/>
  <c r="D58" i="4"/>
  <c r="E58" i="4" s="1"/>
  <c r="L58" i="4" s="1"/>
  <c r="G58" i="4"/>
  <c r="H58" i="4"/>
  <c r="B59" i="4" a="1"/>
  <c r="C59" i="4" s="1"/>
  <c r="D59" i="4"/>
  <c r="G59" i="4"/>
  <c r="H59" i="4"/>
  <c r="B60" i="4" a="1"/>
  <c r="G60" i="4"/>
  <c r="H60" i="4"/>
  <c r="B61" i="4" a="1"/>
  <c r="G61" i="4"/>
  <c r="H61" i="4"/>
  <c r="B62" i="4" a="1"/>
  <c r="C62" i="4"/>
  <c r="E62" i="4" s="1"/>
  <c r="D62" i="4"/>
  <c r="G62" i="4"/>
  <c r="H62" i="4"/>
  <c r="B63" i="4" a="1"/>
  <c r="G63" i="4"/>
  <c r="H63" i="4"/>
  <c r="B64" i="4" a="1"/>
  <c r="G64" i="4"/>
  <c r="H64" i="4"/>
  <c r="B65" i="4" a="1"/>
  <c r="C65" i="4"/>
  <c r="D65" i="4"/>
  <c r="G65" i="4"/>
  <c r="H65" i="4"/>
  <c r="B66" i="4" a="1"/>
  <c r="D66" i="4" s="1"/>
  <c r="C66" i="4"/>
  <c r="G66" i="4"/>
  <c r="H66" i="4"/>
  <c r="B67" i="4" a="1"/>
  <c r="C67" i="4"/>
  <c r="D67" i="4"/>
  <c r="G67" i="4"/>
  <c r="H67" i="4"/>
  <c r="B68" i="4" a="1"/>
  <c r="G68" i="4"/>
  <c r="H68" i="4"/>
  <c r="B69" i="4" a="1"/>
  <c r="D69" i="4" s="1"/>
  <c r="C69" i="4"/>
  <c r="E69" i="4" s="1"/>
  <c r="G69" i="4"/>
  <c r="H69" i="4"/>
  <c r="B70" i="4" a="1"/>
  <c r="D70" i="4" s="1"/>
  <c r="C70" i="4"/>
  <c r="G70" i="4"/>
  <c r="H70" i="4"/>
  <c r="B71" i="4" a="1"/>
  <c r="D71" i="4" s="1"/>
  <c r="C71" i="4"/>
  <c r="E71" i="4" s="1"/>
  <c r="G71" i="4"/>
  <c r="H71" i="4"/>
  <c r="B72" i="4" a="1"/>
  <c r="D72" i="4" s="1"/>
  <c r="C72" i="4"/>
  <c r="E72" i="4" s="1"/>
  <c r="G72" i="4"/>
  <c r="H72" i="4"/>
  <c r="B73" i="4" a="1"/>
  <c r="D73" i="4" s="1"/>
  <c r="C73" i="4"/>
  <c r="E73" i="4" s="1"/>
  <c r="G73" i="4"/>
  <c r="H73" i="4"/>
  <c r="B74" i="4" a="1"/>
  <c r="G74" i="4"/>
  <c r="H74" i="4"/>
  <c r="B75" i="4" a="1"/>
  <c r="G75" i="4"/>
  <c r="H75" i="4"/>
  <c r="B76" i="4" a="1"/>
  <c r="G76" i="4"/>
  <c r="H76" i="4"/>
  <c r="B77" i="4" a="1"/>
  <c r="D77" i="4" s="1"/>
  <c r="C77" i="4"/>
  <c r="E77" i="4" s="1"/>
  <c r="G77" i="4"/>
  <c r="H77" i="4"/>
  <c r="B78" i="4" a="1"/>
  <c r="G78" i="4"/>
  <c r="H78" i="4"/>
  <c r="B79" i="4" a="1"/>
  <c r="G79" i="4"/>
  <c r="H79" i="4"/>
  <c r="B80" i="4" a="1"/>
  <c r="C80" i="4"/>
  <c r="D80" i="4"/>
  <c r="E80" i="4"/>
  <c r="G80" i="4"/>
  <c r="H80" i="4"/>
  <c r="B81" i="4" a="1"/>
  <c r="G81" i="4"/>
  <c r="H81" i="4"/>
  <c r="B82" i="4" a="1"/>
  <c r="D82" i="4" s="1"/>
  <c r="C82" i="4"/>
  <c r="E82" i="4" s="1"/>
  <c r="G82" i="4"/>
  <c r="H82" i="4"/>
  <c r="B83" i="4" a="1"/>
  <c r="G83" i="4"/>
  <c r="H83" i="4"/>
  <c r="B53" i="4" a="1"/>
  <c r="F53" i="4"/>
  <c r="G53" i="4"/>
  <c r="H53" i="4"/>
  <c r="I53" i="4"/>
  <c r="J53" i="4"/>
  <c r="K53" i="4"/>
  <c r="G30" i="4"/>
  <c r="H30" i="4"/>
  <c r="G31" i="4"/>
  <c r="H31" i="4"/>
  <c r="G32" i="4"/>
  <c r="H32" i="4"/>
  <c r="G33" i="4"/>
  <c r="H33" i="4"/>
  <c r="G34" i="4"/>
  <c r="H34" i="4"/>
  <c r="G35" i="4"/>
  <c r="H35" i="4"/>
  <c r="G36" i="4"/>
  <c r="H36" i="4"/>
  <c r="G37" i="4"/>
  <c r="H37" i="4"/>
  <c r="G38" i="4"/>
  <c r="H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29" i="4"/>
  <c r="H29" i="4"/>
  <c r="I29" i="4"/>
  <c r="J29" i="4"/>
  <c r="K29" i="4"/>
  <c r="B6" i="4" a="1"/>
  <c r="C6" i="4" s="1"/>
  <c r="E6" i="4" s="1"/>
  <c r="D6" i="4"/>
  <c r="G6" i="4"/>
  <c r="H6" i="4"/>
  <c r="L6" i="4" s="1"/>
  <c r="B7" i="4" a="1"/>
  <c r="G7" i="4"/>
  <c r="H7" i="4"/>
  <c r="B8" i="4" a="1"/>
  <c r="G8" i="4"/>
  <c r="H8" i="4"/>
  <c r="B9" i="4" a="1"/>
  <c r="G9" i="4"/>
  <c r="H9" i="4"/>
  <c r="B10" i="4" a="1"/>
  <c r="C10" i="4"/>
  <c r="E10" i="4" s="1"/>
  <c r="D10" i="4"/>
  <c r="G10" i="4"/>
  <c r="H10" i="4"/>
  <c r="B11" i="4" a="1"/>
  <c r="C11" i="4"/>
  <c r="E11" i="4" s="1"/>
  <c r="D11" i="4"/>
  <c r="G11" i="4"/>
  <c r="H11" i="4"/>
  <c r="G12" i="4"/>
  <c r="H12" i="4"/>
  <c r="B13" i="4" a="1"/>
  <c r="C13" i="4"/>
  <c r="D13" i="4"/>
  <c r="G13" i="4"/>
  <c r="H13" i="4"/>
  <c r="B14" i="4" a="1"/>
  <c r="D14" i="4" s="1"/>
  <c r="E14" i="4" s="1"/>
  <c r="C14" i="4"/>
  <c r="G14" i="4"/>
  <c r="H14" i="4"/>
  <c r="B15" i="4" a="1"/>
  <c r="D15" i="4" s="1"/>
  <c r="E15" i="4" s="1"/>
  <c r="C15" i="4"/>
  <c r="G15" i="4"/>
  <c r="H15" i="4"/>
  <c r="B16" i="4" a="1"/>
  <c r="G16" i="4"/>
  <c r="H16" i="4"/>
  <c r="B17" i="4" a="1"/>
  <c r="G17" i="4"/>
  <c r="H17" i="4"/>
  <c r="B18" i="4" a="1"/>
  <c r="G18" i="4"/>
  <c r="H18" i="4"/>
  <c r="B19" i="4" a="1"/>
  <c r="G19" i="4"/>
  <c r="H19" i="4"/>
  <c r="B20" i="4" a="1"/>
  <c r="G20" i="4"/>
  <c r="H20" i="4"/>
  <c r="B21" i="4" a="1"/>
  <c r="G21" i="4"/>
  <c r="H21" i="4"/>
  <c r="B22" i="4" a="1"/>
  <c r="G22" i="4"/>
  <c r="H22" i="4"/>
  <c r="B23" i="4" a="1"/>
  <c r="G23" i="4"/>
  <c r="H23" i="4"/>
  <c r="B24" i="4" a="1"/>
  <c r="D24" i="4" s="1"/>
  <c r="C24" i="4"/>
  <c r="E24" i="4" s="1"/>
  <c r="G24" i="4"/>
  <c r="H24" i="4"/>
  <c r="B25" i="4" a="1"/>
  <c r="D25" i="4" s="1"/>
  <c r="C25" i="4"/>
  <c r="E25" i="4" s="1"/>
  <c r="G25" i="4"/>
  <c r="H25" i="4"/>
  <c r="B5" i="4" a="1"/>
  <c r="G5" i="4"/>
  <c r="H5" i="4"/>
  <c r="I5" i="4"/>
  <c r="J5" i="4"/>
  <c r="K5" i="4"/>
  <c r="H4" i="3"/>
  <c r="H7" i="3" s="1"/>
  <c r="H5" i="3"/>
  <c r="H8" i="3" s="1"/>
  <c r="H6" i="3"/>
  <c r="H9" i="3" s="1"/>
  <c r="B6" i="3"/>
  <c r="C6" i="3"/>
  <c r="B30" i="4" s="1" a="1"/>
  <c r="D6" i="3"/>
  <c r="B54" i="4" s="1" a="1"/>
  <c r="B7" i="3"/>
  <c r="C7" i="3"/>
  <c r="B31" i="4" s="1" a="1"/>
  <c r="D7" i="3"/>
  <c r="B55" i="4" s="1" a="1"/>
  <c r="B8" i="3"/>
  <c r="C8" i="3"/>
  <c r="B32" i="4" s="1" a="1"/>
  <c r="D8" i="3"/>
  <c r="B9" i="3"/>
  <c r="C9" i="3"/>
  <c r="B33" i="4" s="1" a="1"/>
  <c r="D9" i="3"/>
  <c r="B10" i="3"/>
  <c r="C10" i="3"/>
  <c r="B34" i="4" s="1" a="1"/>
  <c r="D10" i="3"/>
  <c r="B11" i="3"/>
  <c r="C11" i="3"/>
  <c r="B35" i="4" s="1" a="1"/>
  <c r="D11" i="3"/>
  <c r="B12" i="3"/>
  <c r="B12" i="4" s="1" a="1"/>
  <c r="C12" i="3"/>
  <c r="B36" i="4" s="1" a="1"/>
  <c r="D12" i="3"/>
  <c r="B13" i="3"/>
  <c r="C13" i="3"/>
  <c r="B37" i="4" s="1" a="1"/>
  <c r="D13" i="3"/>
  <c r="B14" i="3"/>
  <c r="C14" i="3"/>
  <c r="B38" i="4" s="1" a="1"/>
  <c r="D14" i="3"/>
  <c r="B15" i="3"/>
  <c r="C15" i="3"/>
  <c r="B39" i="4" s="1" a="1"/>
  <c r="D15" i="3"/>
  <c r="B16" i="3"/>
  <c r="C16" i="3"/>
  <c r="B40" i="4" s="1" a="1"/>
  <c r="D16" i="3"/>
  <c r="B17" i="3"/>
  <c r="C17" i="3"/>
  <c r="B41" i="4" s="1" a="1"/>
  <c r="D17" i="3"/>
  <c r="B18" i="3"/>
  <c r="C18" i="3"/>
  <c r="B42" i="4" s="1" a="1"/>
  <c r="D18" i="3"/>
  <c r="B19" i="3"/>
  <c r="C19" i="3"/>
  <c r="B43" i="4" s="1" a="1"/>
  <c r="D19" i="3"/>
  <c r="B20" i="3"/>
  <c r="C20" i="3"/>
  <c r="B44" i="4" s="1" a="1"/>
  <c r="D20" i="3"/>
  <c r="B21" i="3"/>
  <c r="C21" i="3"/>
  <c r="B45" i="4" s="1" a="1"/>
  <c r="D21" i="3"/>
  <c r="B22" i="3"/>
  <c r="C22" i="3"/>
  <c r="B46" i="4" s="1" a="1"/>
  <c r="D22" i="3"/>
  <c r="B23" i="3"/>
  <c r="C23" i="3"/>
  <c r="B47" i="4" s="1" a="1"/>
  <c r="D23" i="3"/>
  <c r="B24" i="3"/>
  <c r="C24" i="3"/>
  <c r="B48" i="4" s="1" a="1"/>
  <c r="D24" i="3"/>
  <c r="B25" i="3"/>
  <c r="C25" i="3"/>
  <c r="B49" i="4" s="1" a="1"/>
  <c r="D25" i="3"/>
  <c r="B26" i="3"/>
  <c r="C26" i="3"/>
  <c r="D26" i="3"/>
  <c r="B27" i="3"/>
  <c r="C27" i="3"/>
  <c r="D27" i="3"/>
  <c r="B28" i="3"/>
  <c r="C28" i="3"/>
  <c r="D28" i="3"/>
  <c r="B29" i="3"/>
  <c r="C29" i="3"/>
  <c r="D29" i="3"/>
  <c r="B30" i="3"/>
  <c r="C30" i="3"/>
  <c r="D30" i="3"/>
  <c r="B31" i="3"/>
  <c r="C31" i="3"/>
  <c r="D31" i="3"/>
  <c r="B32" i="3"/>
  <c r="C32" i="3"/>
  <c r="D32" i="3"/>
  <c r="B33" i="3"/>
  <c r="C33" i="3"/>
  <c r="D33" i="3"/>
  <c r="B34" i="3"/>
  <c r="C34" i="3"/>
  <c r="D34" i="3"/>
  <c r="B35" i="3"/>
  <c r="C35" i="3"/>
  <c r="D35" i="3"/>
  <c r="B36" i="3"/>
  <c r="C36" i="3"/>
  <c r="D36" i="3"/>
  <c r="D5" i="3"/>
  <c r="C5" i="3"/>
  <c r="B29" i="4" s="1" a="1"/>
  <c r="B5" i="3"/>
  <c r="D30" i="4" l="1"/>
  <c r="C30" i="4"/>
  <c r="E30" i="4" s="1"/>
  <c r="C31" i="4"/>
  <c r="E31" i="4" s="1"/>
  <c r="D31" i="4"/>
  <c r="C32" i="4"/>
  <c r="E32" i="4" s="1"/>
  <c r="D32" i="4"/>
  <c r="C35" i="4"/>
  <c r="D35" i="4"/>
  <c r="C36" i="4"/>
  <c r="E36" i="4" s="1"/>
  <c r="D36" i="4"/>
  <c r="C41" i="4"/>
  <c r="D41" i="4"/>
  <c r="E41" i="4" s="1"/>
  <c r="C46" i="4"/>
  <c r="D46" i="4"/>
  <c r="C48" i="4"/>
  <c r="E48" i="4" s="1"/>
  <c r="D48" i="4"/>
  <c r="D29" i="4"/>
  <c r="C29" i="4"/>
  <c r="E29" i="4" s="1"/>
  <c r="F29" i="4"/>
  <c r="L72" i="4"/>
  <c r="E59" i="4"/>
  <c r="E65" i="4"/>
  <c r="E66" i="4"/>
  <c r="E67" i="4"/>
  <c r="E46" i="4"/>
  <c r="E13" i="4"/>
  <c r="D32" i="5"/>
  <c r="D33" i="5"/>
  <c r="L56" i="4"/>
  <c r="F56" i="4"/>
  <c r="C60" i="4"/>
  <c r="D60" i="4"/>
  <c r="E60" i="4" s="1"/>
  <c r="D61" i="4"/>
  <c r="C61" i="4"/>
  <c r="E61" i="4" s="1"/>
  <c r="L62" i="4"/>
  <c r="F62" i="4"/>
  <c r="C63" i="4"/>
  <c r="E63" i="4" s="1"/>
  <c r="F63" i="4" s="1"/>
  <c r="D63" i="4"/>
  <c r="C64" i="4"/>
  <c r="E64" i="4" s="1"/>
  <c r="F64" i="4" s="1"/>
  <c r="D64" i="4"/>
  <c r="C53" i="4"/>
  <c r="E53" i="4" s="1"/>
  <c r="L53" i="4" s="1"/>
  <c r="D53" i="4"/>
  <c r="L30" i="4"/>
  <c r="F30" i="4"/>
  <c r="I31" i="4"/>
  <c r="J31" i="4" s="1"/>
  <c r="L31" i="4"/>
  <c r="F31" i="4"/>
  <c r="I32" i="4"/>
  <c r="J32" i="4" s="1"/>
  <c r="K32" i="4" s="1"/>
  <c r="L32" i="4"/>
  <c r="F32" i="4"/>
  <c r="C33" i="4"/>
  <c r="E33" i="4" s="1"/>
  <c r="D33" i="4"/>
  <c r="L36" i="4"/>
  <c r="F36" i="4"/>
  <c r="C37" i="4"/>
  <c r="E37" i="4" s="1"/>
  <c r="F37" i="4" s="1"/>
  <c r="D37" i="4"/>
  <c r="C38" i="4"/>
  <c r="E38" i="4" s="1"/>
  <c r="D38" i="4"/>
  <c r="D44" i="4"/>
  <c r="C44" i="4"/>
  <c r="E44" i="4" s="1"/>
  <c r="F6" i="4"/>
  <c r="C7" i="4"/>
  <c r="E7" i="4" s="1"/>
  <c r="D7" i="4"/>
  <c r="C9" i="4"/>
  <c r="E9" i="4" s="1"/>
  <c r="D9" i="4"/>
  <c r="F10" i="4"/>
  <c r="L10" i="4"/>
  <c r="L11" i="4"/>
  <c r="I11" i="4"/>
  <c r="J11" i="4" s="1"/>
  <c r="K11" i="4" s="1"/>
  <c r="D54" i="4"/>
  <c r="C54" i="4"/>
  <c r="E54" i="4" s="1"/>
  <c r="F54" i="4" s="1"/>
  <c r="D55" i="4"/>
  <c r="E55" i="4" s="1"/>
  <c r="C55" i="4"/>
  <c r="D34" i="4"/>
  <c r="C34" i="4"/>
  <c r="E34" i="4" s="1"/>
  <c r="D12" i="4"/>
  <c r="C12" i="4"/>
  <c r="E12" i="4" s="1"/>
  <c r="F12" i="4" s="1"/>
  <c r="F11" i="4"/>
  <c r="E18" i="6"/>
  <c r="D18" i="6"/>
  <c r="P67" i="4"/>
  <c r="Q67" i="4" s="1"/>
  <c r="R67" i="4" s="1"/>
  <c r="S67" i="4" s="1"/>
  <c r="P68" i="4"/>
  <c r="Q68" i="4" s="1"/>
  <c r="R68" i="4" s="1"/>
  <c r="S68" i="4" s="1"/>
  <c r="P69" i="4"/>
  <c r="Q69" i="4" s="1"/>
  <c r="R69" i="4" s="1"/>
  <c r="S69" i="4" s="1"/>
  <c r="P70" i="4"/>
  <c r="Q70" i="4" s="1"/>
  <c r="R70" i="4" s="1"/>
  <c r="S70" i="4" s="1"/>
  <c r="P71" i="4"/>
  <c r="Q71" i="4" s="1"/>
  <c r="R71" i="4" s="1"/>
  <c r="S71" i="4" s="1"/>
  <c r="P43" i="4"/>
  <c r="Q43" i="4" s="1"/>
  <c r="P44" i="4"/>
  <c r="Q44" i="4" s="1"/>
  <c r="R44" i="4" s="1"/>
  <c r="S44" i="4" s="1"/>
  <c r="P45" i="4"/>
  <c r="Q45" i="4" s="1"/>
  <c r="R45" i="4" s="1"/>
  <c r="S45" i="4" s="1"/>
  <c r="P46" i="4"/>
  <c r="Q46" i="4" s="1"/>
  <c r="D19" i="6"/>
  <c r="E19" i="6"/>
  <c r="P29" i="4"/>
  <c r="Q29" i="4" s="1"/>
  <c r="R29" i="4" s="1"/>
  <c r="S29" i="4" s="1"/>
  <c r="P32" i="4"/>
  <c r="Q32" i="4" s="1"/>
  <c r="P38" i="4"/>
  <c r="Q38" i="4" s="1"/>
  <c r="R38" i="4" s="1"/>
  <c r="S38" i="4" s="1"/>
  <c r="P39" i="4"/>
  <c r="Q39" i="4" s="1"/>
  <c r="P40" i="4"/>
  <c r="Q40" i="4" s="1"/>
  <c r="R40" i="4" s="1"/>
  <c r="S40" i="4" s="1"/>
  <c r="P41" i="4"/>
  <c r="Q41" i="4" s="1"/>
  <c r="R41" i="4" s="1"/>
  <c r="S41" i="4" s="1"/>
  <c r="P47" i="4"/>
  <c r="Q47" i="4" s="1"/>
  <c r="R47" i="4" s="1"/>
  <c r="S47" i="4" s="1"/>
  <c r="P48" i="4"/>
  <c r="Q48" i="4" s="1"/>
  <c r="R48" i="4" s="1"/>
  <c r="S48" i="4" s="1"/>
  <c r="P49" i="4"/>
  <c r="Q49" i="4" s="1"/>
  <c r="R49" i="4" s="1"/>
  <c r="S49" i="4" s="1"/>
  <c r="P50" i="4"/>
  <c r="Q50" i="4" s="1"/>
  <c r="P36" i="4"/>
  <c r="Q36" i="4" s="1"/>
  <c r="R36" i="4" s="1"/>
  <c r="S36" i="4" s="1"/>
  <c r="P13" i="4"/>
  <c r="Q13" i="4" s="1"/>
  <c r="R13" i="4" s="1"/>
  <c r="S13" i="4" s="1"/>
  <c r="P14" i="4"/>
  <c r="Q14" i="4" s="1"/>
  <c r="R14" i="4" s="1"/>
  <c r="S14" i="4" s="1"/>
  <c r="P15" i="4"/>
  <c r="Q15" i="4" s="1"/>
  <c r="R15" i="4" s="1"/>
  <c r="S15" i="4" s="1"/>
  <c r="P16" i="4"/>
  <c r="Q16" i="4" s="1"/>
  <c r="R16" i="4" s="1"/>
  <c r="S16" i="4" s="1"/>
  <c r="P17" i="4"/>
  <c r="Q17" i="4" s="1"/>
  <c r="R17" i="4" s="1"/>
  <c r="S17" i="4" s="1"/>
  <c r="P18" i="4"/>
  <c r="Q18" i="4" s="1"/>
  <c r="P19" i="4"/>
  <c r="Q19" i="4" s="1"/>
  <c r="P20" i="4"/>
  <c r="Q20" i="4" s="1"/>
  <c r="P21" i="4"/>
  <c r="Q21" i="4" s="1"/>
  <c r="R21" i="4" s="1"/>
  <c r="S21" i="4" s="1"/>
  <c r="P22" i="4"/>
  <c r="Q22" i="4" s="1"/>
  <c r="R22" i="4" s="1"/>
  <c r="S22" i="4" s="1"/>
  <c r="P35" i="4"/>
  <c r="Q35" i="4" s="1"/>
  <c r="P34" i="4"/>
  <c r="Q34" i="4" s="1"/>
  <c r="P33" i="4"/>
  <c r="Q33" i="4" s="1"/>
  <c r="P37" i="4"/>
  <c r="Q37" i="4" s="1"/>
  <c r="R37" i="4" s="1"/>
  <c r="S37" i="4" s="1"/>
  <c r="P11" i="4"/>
  <c r="Q11" i="4" s="1"/>
  <c r="R11" i="4" s="1"/>
  <c r="S11" i="4" s="1"/>
  <c r="P78" i="4"/>
  <c r="Q78" i="4" s="1"/>
  <c r="R78" i="4" s="1"/>
  <c r="S78" i="4" s="1"/>
  <c r="P8" i="4"/>
  <c r="Q8" i="4" s="1"/>
  <c r="R8" i="4" s="1"/>
  <c r="S8" i="4" s="1"/>
  <c r="P10" i="4"/>
  <c r="Q10" i="4" s="1"/>
  <c r="R10" i="4" s="1"/>
  <c r="S10" i="4" s="1"/>
  <c r="P6" i="4"/>
  <c r="Q6" i="4" s="1"/>
  <c r="R6" i="4" s="1"/>
  <c r="S6" i="4" s="1"/>
  <c r="P7" i="4"/>
  <c r="Q7" i="4" s="1"/>
  <c r="P9" i="4"/>
  <c r="Q9" i="4" s="1"/>
  <c r="P77" i="4"/>
  <c r="Q77" i="4" s="1"/>
  <c r="P12" i="4"/>
  <c r="Q12" i="4" s="1"/>
  <c r="P76" i="4"/>
  <c r="Q76" i="4" s="1"/>
  <c r="P75" i="4"/>
  <c r="Q75" i="4" s="1"/>
  <c r="P23" i="4"/>
  <c r="Q23" i="4" s="1"/>
  <c r="P24" i="4"/>
  <c r="Q24" i="4" s="1"/>
  <c r="P25" i="4"/>
  <c r="Q25" i="4" s="1"/>
  <c r="P26" i="4"/>
  <c r="Q26" i="4" s="1"/>
  <c r="R26" i="4" s="1"/>
  <c r="S26" i="4" s="1"/>
  <c r="P5" i="4"/>
  <c r="Q5" i="4" s="1"/>
  <c r="R5" i="4" s="1"/>
  <c r="S5" i="4" s="1"/>
  <c r="P74" i="4"/>
  <c r="Q74" i="4" s="1"/>
  <c r="P73" i="4"/>
  <c r="Q73" i="4" s="1"/>
  <c r="R73" i="4" s="1"/>
  <c r="S73" i="4" s="1"/>
  <c r="P72" i="4"/>
  <c r="Q72" i="4" s="1"/>
  <c r="P56" i="4"/>
  <c r="Q56" i="4" s="1"/>
  <c r="P31" i="4"/>
  <c r="Q31" i="4" s="1"/>
  <c r="R31" i="4" s="1"/>
  <c r="S31" i="4" s="1"/>
  <c r="D26" i="6"/>
  <c r="E26" i="6"/>
  <c r="E17" i="6"/>
  <c r="D17" i="6"/>
  <c r="C20" i="6"/>
  <c r="D8" i="5"/>
  <c r="P57" i="4"/>
  <c r="Q57" i="4" s="1"/>
  <c r="P58" i="4"/>
  <c r="Q58" i="4" s="1"/>
  <c r="P59" i="4"/>
  <c r="Q59" i="4" s="1"/>
  <c r="R59" i="4" s="1"/>
  <c r="S59" i="4" s="1"/>
  <c r="P60" i="4"/>
  <c r="Q60" i="4" s="1"/>
  <c r="R60" i="4" s="1"/>
  <c r="S60" i="4" s="1"/>
  <c r="P61" i="4"/>
  <c r="Q61" i="4" s="1"/>
  <c r="R61" i="4" s="1"/>
  <c r="S61" i="4" s="1"/>
  <c r="P62" i="4"/>
  <c r="Q62" i="4" s="1"/>
  <c r="R62" i="4" s="1"/>
  <c r="S62" i="4" s="1"/>
  <c r="P63" i="4"/>
  <c r="Q63" i="4" s="1"/>
  <c r="R63" i="4" s="1"/>
  <c r="S63" i="4" s="1"/>
  <c r="P64" i="4"/>
  <c r="Q64" i="4" s="1"/>
  <c r="R64" i="4" s="1"/>
  <c r="S64" i="4" s="1"/>
  <c r="P65" i="4"/>
  <c r="Q65" i="4" s="1"/>
  <c r="R65" i="4" s="1"/>
  <c r="S65" i="4" s="1"/>
  <c r="P66" i="4"/>
  <c r="Q66" i="4" s="1"/>
  <c r="P83" i="4"/>
  <c r="Q83" i="4" s="1"/>
  <c r="R83" i="4" s="1"/>
  <c r="S83" i="4" s="1"/>
  <c r="P30" i="4"/>
  <c r="Q30" i="4" s="1"/>
  <c r="P53" i="4"/>
  <c r="Q53" i="4" s="1"/>
  <c r="P84" i="4"/>
  <c r="Q84" i="4" s="1"/>
  <c r="R84" i="4" s="1"/>
  <c r="S84" i="4" s="1"/>
  <c r="P82" i="4"/>
  <c r="Q82" i="4" s="1"/>
  <c r="P81" i="4"/>
  <c r="Q81" i="4" s="1"/>
  <c r="P80" i="4"/>
  <c r="Q80" i="4" s="1"/>
  <c r="P79" i="4"/>
  <c r="Q79" i="4" s="1"/>
  <c r="P42" i="4"/>
  <c r="Q42" i="4" s="1"/>
  <c r="P55" i="4"/>
  <c r="Q55" i="4" s="1"/>
  <c r="P54" i="4"/>
  <c r="Q54" i="4" s="1"/>
  <c r="C57" i="4"/>
  <c r="D57" i="4"/>
  <c r="F58" i="4"/>
  <c r="C68" i="4"/>
  <c r="D68" i="4"/>
  <c r="L69" i="4"/>
  <c r="F69" i="4"/>
  <c r="F71" i="4"/>
  <c r="L71" i="4"/>
  <c r="I72" i="4"/>
  <c r="J72" i="4" s="1"/>
  <c r="K72" i="4" s="1"/>
  <c r="F72" i="4"/>
  <c r="I73" i="4"/>
  <c r="J73" i="4" s="1"/>
  <c r="K73" i="4" s="1"/>
  <c r="F73" i="4"/>
  <c r="L73" i="4"/>
  <c r="C74" i="4"/>
  <c r="D74" i="4"/>
  <c r="C75" i="4"/>
  <c r="D75" i="4"/>
  <c r="C76" i="4"/>
  <c r="D76" i="4"/>
  <c r="L77" i="4"/>
  <c r="F77" i="4"/>
  <c r="D78" i="4"/>
  <c r="C78" i="4"/>
  <c r="E78" i="4" s="1"/>
  <c r="D79" i="4"/>
  <c r="C79" i="4"/>
  <c r="E79" i="4" s="1"/>
  <c r="F79" i="4" s="1"/>
  <c r="F80" i="4"/>
  <c r="L80" i="4"/>
  <c r="I80" i="4"/>
  <c r="J80" i="4" s="1"/>
  <c r="K80" i="4" s="1"/>
  <c r="C81" i="4"/>
  <c r="D81" i="4"/>
  <c r="L82" i="4"/>
  <c r="F82" i="4"/>
  <c r="D83" i="4"/>
  <c r="C83" i="4"/>
  <c r="E70" i="4"/>
  <c r="I71" i="4" s="1"/>
  <c r="J71" i="4" s="1"/>
  <c r="K71" i="4" s="1"/>
  <c r="D39" i="4"/>
  <c r="C39" i="4"/>
  <c r="E39" i="4" s="1"/>
  <c r="F39" i="4" s="1"/>
  <c r="D40" i="4"/>
  <c r="C40" i="4"/>
  <c r="E40" i="4" s="1"/>
  <c r="F40" i="4" s="1"/>
  <c r="D42" i="4"/>
  <c r="C42" i="4"/>
  <c r="E42" i="4" s="1"/>
  <c r="F42" i="4" s="1"/>
  <c r="C43" i="4"/>
  <c r="D43" i="4"/>
  <c r="D45" i="4"/>
  <c r="C45" i="4"/>
  <c r="E45" i="4" s="1"/>
  <c r="C47" i="4"/>
  <c r="D47" i="4"/>
  <c r="C49" i="4"/>
  <c r="D49" i="4"/>
  <c r="C8" i="4"/>
  <c r="D8" i="4"/>
  <c r="L14" i="4"/>
  <c r="F14" i="4"/>
  <c r="L15" i="4"/>
  <c r="F15" i="4"/>
  <c r="I15" i="4"/>
  <c r="J15" i="4" s="1"/>
  <c r="K15" i="4" s="1"/>
  <c r="C16" i="4"/>
  <c r="D16" i="4"/>
  <c r="C17" i="4"/>
  <c r="E17" i="4" s="1"/>
  <c r="D17" i="4"/>
  <c r="C18" i="4"/>
  <c r="D18" i="4"/>
  <c r="D19" i="4"/>
  <c r="C19" i="4"/>
  <c r="E19" i="4" s="1"/>
  <c r="F19" i="4" s="1"/>
  <c r="C20" i="4"/>
  <c r="D20" i="4"/>
  <c r="D21" i="4"/>
  <c r="C21" i="4"/>
  <c r="E21" i="4" s="1"/>
  <c r="F21" i="4" s="1"/>
  <c r="C22" i="4"/>
  <c r="D22" i="4"/>
  <c r="D23" i="4"/>
  <c r="C23" i="4"/>
  <c r="E23" i="4" s="1"/>
  <c r="I24" i="4" s="1"/>
  <c r="J24" i="4" s="1"/>
  <c r="K24" i="4" s="1"/>
  <c r="L24" i="4"/>
  <c r="F24" i="4"/>
  <c r="L25" i="4"/>
  <c r="I25" i="4"/>
  <c r="J25" i="4" s="1"/>
  <c r="K25" i="4" s="1"/>
  <c r="F25" i="4"/>
  <c r="C5" i="4"/>
  <c r="E5" i="4" s="1"/>
  <c r="F5" i="4"/>
  <c r="D5" i="4"/>
  <c r="H10" i="3"/>
  <c r="E35" i="4" l="1"/>
  <c r="L41" i="4"/>
  <c r="F41" i="4"/>
  <c r="I41" i="4"/>
  <c r="J41" i="4" s="1"/>
  <c r="K41" i="4" s="1"/>
  <c r="L48" i="4"/>
  <c r="F48" i="4"/>
  <c r="L29" i="4"/>
  <c r="I30" i="4"/>
  <c r="J30" i="4" s="1"/>
  <c r="K30" i="4" s="1"/>
  <c r="L5" i="4"/>
  <c r="I6" i="4"/>
  <c r="J6" i="4" s="1"/>
  <c r="K6" i="4" s="1"/>
  <c r="L63" i="4"/>
  <c r="I63" i="4"/>
  <c r="J63" i="4" s="1"/>
  <c r="K63" i="4" s="1"/>
  <c r="L64" i="4"/>
  <c r="I64" i="4"/>
  <c r="J64" i="4" s="1"/>
  <c r="K64" i="4" s="1"/>
  <c r="K31" i="4"/>
  <c r="I37" i="4"/>
  <c r="J37" i="4" s="1"/>
  <c r="K37" i="4" s="1"/>
  <c r="L37" i="4"/>
  <c r="L38" i="4"/>
  <c r="I38" i="4"/>
  <c r="J38" i="4" s="1"/>
  <c r="K38" i="4" s="1"/>
  <c r="F38" i="4"/>
  <c r="L54" i="4"/>
  <c r="I54" i="4"/>
  <c r="J54" i="4" s="1"/>
  <c r="K54" i="4" s="1"/>
  <c r="L12" i="4"/>
  <c r="I12" i="4"/>
  <c r="J12" i="4" s="1"/>
  <c r="K12" i="4" s="1"/>
  <c r="E8" i="4"/>
  <c r="L59" i="4"/>
  <c r="I59" i="4"/>
  <c r="J59" i="4" s="1"/>
  <c r="K59" i="4" s="1"/>
  <c r="F59" i="4"/>
  <c r="L65" i="4"/>
  <c r="F65" i="4"/>
  <c r="I65" i="4"/>
  <c r="J65" i="4" s="1"/>
  <c r="K65" i="4" s="1"/>
  <c r="I66" i="4"/>
  <c r="J66" i="4" s="1"/>
  <c r="K66" i="4" s="1"/>
  <c r="L66" i="4"/>
  <c r="F66" i="4"/>
  <c r="F67" i="4"/>
  <c r="I67" i="4"/>
  <c r="J67" i="4" s="1"/>
  <c r="K67" i="4" s="1"/>
  <c r="L67" i="4"/>
  <c r="F46" i="4"/>
  <c r="I46" i="4"/>
  <c r="J46" i="4" s="1"/>
  <c r="K46" i="4" s="1"/>
  <c r="L46" i="4"/>
  <c r="L13" i="4"/>
  <c r="I13" i="4"/>
  <c r="J13" i="4" s="1"/>
  <c r="K13" i="4" s="1"/>
  <c r="F13" i="4"/>
  <c r="I14" i="4"/>
  <c r="J14" i="4" s="1"/>
  <c r="K14" i="4" s="1"/>
  <c r="L60" i="4"/>
  <c r="F60" i="4"/>
  <c r="I60" i="4"/>
  <c r="J60" i="4" s="1"/>
  <c r="K60" i="4" s="1"/>
  <c r="L61" i="4"/>
  <c r="I61" i="4"/>
  <c r="J61" i="4" s="1"/>
  <c r="K61" i="4" s="1"/>
  <c r="I62" i="4"/>
  <c r="J62" i="4" s="1"/>
  <c r="K62" i="4" s="1"/>
  <c r="F61" i="4"/>
  <c r="L33" i="4"/>
  <c r="F33" i="4"/>
  <c r="I33" i="4"/>
  <c r="J33" i="4" s="1"/>
  <c r="L44" i="4"/>
  <c r="F44" i="4"/>
  <c r="I7" i="4"/>
  <c r="J7" i="4" s="1"/>
  <c r="L7" i="4"/>
  <c r="F7" i="4"/>
  <c r="F9" i="4"/>
  <c r="I10" i="4"/>
  <c r="J10" i="4" s="1"/>
  <c r="K10" i="4" s="1"/>
  <c r="L9" i="4"/>
  <c r="F55" i="4"/>
  <c r="I55" i="4"/>
  <c r="J55" i="4" s="1"/>
  <c r="L55" i="4"/>
  <c r="I56" i="4"/>
  <c r="J56" i="4" s="1"/>
  <c r="K56" i="4" s="1"/>
  <c r="I35" i="4"/>
  <c r="J35" i="4" s="1"/>
  <c r="K35" i="4" s="1"/>
  <c r="L34" i="4"/>
  <c r="I34" i="4"/>
  <c r="J34" i="4" s="1"/>
  <c r="K34" i="4" s="1"/>
  <c r="F34" i="4"/>
  <c r="R46" i="4"/>
  <c r="S46" i="4" s="1"/>
  <c r="T84" i="4"/>
  <c r="U84" i="4" s="1"/>
  <c r="V84" i="4" s="1"/>
  <c r="E34" i="5" s="1"/>
  <c r="T70" i="4"/>
  <c r="U70" i="4" s="1"/>
  <c r="V70" i="4" s="1"/>
  <c r="T48" i="4"/>
  <c r="U48" i="4" s="1"/>
  <c r="V48" i="4" s="1"/>
  <c r="T37" i="4"/>
  <c r="U37" i="4" s="1"/>
  <c r="V37" i="4" s="1"/>
  <c r="R43" i="4"/>
  <c r="S43" i="4" s="1"/>
  <c r="T44" i="4" s="1"/>
  <c r="U44" i="4" s="1"/>
  <c r="V44" i="4" s="1"/>
  <c r="R32" i="4"/>
  <c r="S32" i="4" s="1"/>
  <c r="T32" i="4" s="1"/>
  <c r="U32" i="4" s="1"/>
  <c r="V32" i="4" s="1"/>
  <c r="R39" i="4"/>
  <c r="S39" i="4" s="1"/>
  <c r="R18" i="4"/>
  <c r="S18" i="4" s="1"/>
  <c r="R20" i="4"/>
  <c r="S20" i="4" s="1"/>
  <c r="R35" i="4"/>
  <c r="S35" i="4" s="1"/>
  <c r="R34" i="4"/>
  <c r="S34" i="4" s="1"/>
  <c r="R33" i="4"/>
  <c r="S33" i="4" s="1"/>
  <c r="R19" i="4"/>
  <c r="S19" i="4" s="1"/>
  <c r="R23" i="4"/>
  <c r="S23" i="4" s="1"/>
  <c r="T23" i="4" s="1"/>
  <c r="U23" i="4" s="1"/>
  <c r="V23" i="4" s="1"/>
  <c r="R50" i="4"/>
  <c r="S50" i="4" s="1"/>
  <c r="T50" i="4" s="1"/>
  <c r="U50" i="4" s="1"/>
  <c r="V50" i="4" s="1"/>
  <c r="E33" i="5" s="1"/>
  <c r="R7" i="4"/>
  <c r="S7" i="4" s="1"/>
  <c r="R12" i="4"/>
  <c r="S12" i="4" s="1"/>
  <c r="R9" i="4"/>
  <c r="S9" i="4" s="1"/>
  <c r="R77" i="4"/>
  <c r="S77" i="4" s="1"/>
  <c r="R76" i="4"/>
  <c r="S76" i="4" s="1"/>
  <c r="R75" i="4"/>
  <c r="S75" i="4" s="1"/>
  <c r="R24" i="4"/>
  <c r="S24" i="4" s="1"/>
  <c r="R25" i="4"/>
  <c r="S25" i="4" s="1"/>
  <c r="R74" i="4"/>
  <c r="S74" i="4" s="1"/>
  <c r="T74" i="4" s="1"/>
  <c r="U74" i="4" s="1"/>
  <c r="V74" i="4" s="1"/>
  <c r="R72" i="4"/>
  <c r="S72" i="4" s="1"/>
  <c r="R82" i="4"/>
  <c r="S82" i="4" s="1"/>
  <c r="R81" i="4"/>
  <c r="S81" i="4" s="1"/>
  <c r="R80" i="4"/>
  <c r="S80" i="4" s="1"/>
  <c r="R79" i="4"/>
  <c r="S79" i="4" s="1"/>
  <c r="T79" i="4" s="1"/>
  <c r="U79" i="4" s="1"/>
  <c r="V79" i="4" s="1"/>
  <c r="D20" i="6"/>
  <c r="E20" i="6"/>
  <c r="R57" i="4"/>
  <c r="S57" i="4" s="1"/>
  <c r="R58" i="4"/>
  <c r="S58" i="4" s="1"/>
  <c r="R56" i="4"/>
  <c r="S56" i="4" s="1"/>
  <c r="R66" i="4"/>
  <c r="S66" i="4" s="1"/>
  <c r="B11" i="5"/>
  <c r="T64" i="4"/>
  <c r="U64" i="4" s="1"/>
  <c r="V64" i="4" s="1"/>
  <c r="T45" i="4"/>
  <c r="U45" i="4" s="1"/>
  <c r="V45" i="4" s="1"/>
  <c r="T6" i="4"/>
  <c r="U6" i="4" s="1"/>
  <c r="V6" i="4" s="1"/>
  <c r="T17" i="4"/>
  <c r="U17" i="4" s="1"/>
  <c r="V17" i="4" s="1"/>
  <c r="T22" i="4"/>
  <c r="U22" i="4" s="1"/>
  <c r="V22" i="4" s="1"/>
  <c r="R30" i="4"/>
  <c r="S30" i="4" s="1"/>
  <c r="R53" i="4"/>
  <c r="S53" i="4" s="1"/>
  <c r="R42" i="4"/>
  <c r="S42" i="4" s="1"/>
  <c r="R55" i="4"/>
  <c r="S55" i="4" s="1"/>
  <c r="R54" i="4"/>
  <c r="S54" i="4" s="1"/>
  <c r="T14" i="4"/>
  <c r="U14" i="4" s="1"/>
  <c r="V14" i="4" s="1"/>
  <c r="T69" i="4"/>
  <c r="U69" i="4" s="1"/>
  <c r="V69" i="4" s="1"/>
  <c r="T68" i="4"/>
  <c r="U68" i="4" s="1"/>
  <c r="V68" i="4" s="1"/>
  <c r="T71" i="4"/>
  <c r="U71" i="4" s="1"/>
  <c r="V71" i="4" s="1"/>
  <c r="T61" i="4"/>
  <c r="U61" i="4" s="1"/>
  <c r="V61" i="4" s="1"/>
  <c r="T60" i="4"/>
  <c r="U60" i="4" s="1"/>
  <c r="V60" i="4" s="1"/>
  <c r="T63" i="4"/>
  <c r="U63" i="4" s="1"/>
  <c r="V63" i="4" s="1"/>
  <c r="T62" i="4"/>
  <c r="U62" i="4" s="1"/>
  <c r="V62" i="4" s="1"/>
  <c r="T65" i="4"/>
  <c r="U65" i="4" s="1"/>
  <c r="V65" i="4" s="1"/>
  <c r="T38" i="4"/>
  <c r="U38" i="4" s="1"/>
  <c r="V38" i="4" s="1"/>
  <c r="T41" i="4"/>
  <c r="U41" i="4" s="1"/>
  <c r="V41" i="4" s="1"/>
  <c r="T49" i="4"/>
  <c r="U49" i="4" s="1"/>
  <c r="V49" i="4" s="1"/>
  <c r="T11" i="4"/>
  <c r="U11" i="4" s="1"/>
  <c r="V11" i="4" s="1"/>
  <c r="T16" i="4"/>
  <c r="U16" i="4" s="1"/>
  <c r="V16" i="4" s="1"/>
  <c r="T15" i="4"/>
  <c r="U15" i="4" s="1"/>
  <c r="V15" i="4" s="1"/>
  <c r="I78" i="4"/>
  <c r="J78" i="4" s="1"/>
  <c r="K78" i="4" s="1"/>
  <c r="L78" i="4"/>
  <c r="F78" i="4"/>
  <c r="L79" i="4"/>
  <c r="I79" i="4"/>
  <c r="J79" i="4" s="1"/>
  <c r="K79" i="4" s="1"/>
  <c r="F70" i="4"/>
  <c r="L70" i="4"/>
  <c r="I70" i="4"/>
  <c r="J70" i="4" s="1"/>
  <c r="K70" i="4" s="1"/>
  <c r="E57" i="4"/>
  <c r="E81" i="4"/>
  <c r="E68" i="4"/>
  <c r="E74" i="4"/>
  <c r="E75" i="4"/>
  <c r="E76" i="4"/>
  <c r="E83" i="4"/>
  <c r="I39" i="4"/>
  <c r="J39" i="4" s="1"/>
  <c r="K39" i="4" s="1"/>
  <c r="L39" i="4"/>
  <c r="L40" i="4"/>
  <c r="I40" i="4"/>
  <c r="J40" i="4" s="1"/>
  <c r="K40" i="4" s="1"/>
  <c r="L42" i="4"/>
  <c r="I42" i="4"/>
  <c r="J42" i="4" s="1"/>
  <c r="K42" i="4" s="1"/>
  <c r="L45" i="4"/>
  <c r="I45" i="4"/>
  <c r="J45" i="4" s="1"/>
  <c r="K45" i="4" s="1"/>
  <c r="F45" i="4"/>
  <c r="E47" i="4"/>
  <c r="E49" i="4"/>
  <c r="E43" i="4"/>
  <c r="L17" i="4"/>
  <c r="F17" i="4"/>
  <c r="L19" i="4"/>
  <c r="L21" i="4"/>
  <c r="L23" i="4"/>
  <c r="F23" i="4"/>
  <c r="E16" i="4"/>
  <c r="I17" i="4" s="1"/>
  <c r="J17" i="4" s="1"/>
  <c r="K17" i="4" s="1"/>
  <c r="E18" i="4"/>
  <c r="I19" i="4" s="1"/>
  <c r="J19" i="4" s="1"/>
  <c r="K19" i="4" s="1"/>
  <c r="E22" i="4"/>
  <c r="I23" i="4" s="1"/>
  <c r="J23" i="4" s="1"/>
  <c r="K23" i="4" s="1"/>
  <c r="E20" i="4"/>
  <c r="I21" i="4" s="1"/>
  <c r="J21" i="4" s="1"/>
  <c r="K21" i="4" s="1"/>
  <c r="H11" i="3"/>
  <c r="H16" i="3" s="1"/>
  <c r="H12" i="3"/>
  <c r="F35" i="4" l="1"/>
  <c r="L35" i="4"/>
  <c r="I36" i="4"/>
  <c r="J36" i="4" s="1"/>
  <c r="K36" i="4" s="1"/>
  <c r="K7" i="4"/>
  <c r="E28" i="5" a="1"/>
  <c r="K55" i="4"/>
  <c r="L8" i="4"/>
  <c r="I8" i="4"/>
  <c r="J8" i="4" s="1"/>
  <c r="F8" i="4"/>
  <c r="I9" i="4"/>
  <c r="J9" i="4" s="1"/>
  <c r="K9" i="4" s="1"/>
  <c r="K33" i="4"/>
  <c r="B27" i="5" s="1"/>
  <c r="C27" i="5" s="1" a="1"/>
  <c r="E27" i="5" a="1"/>
  <c r="T47" i="4"/>
  <c r="U47" i="4" s="1"/>
  <c r="V47" i="4" s="1"/>
  <c r="T46" i="4"/>
  <c r="U46" i="4" s="1"/>
  <c r="V46" i="4" s="1"/>
  <c r="T54" i="4"/>
  <c r="U54" i="4" s="1"/>
  <c r="V54" i="4" s="1"/>
  <c r="T33" i="4"/>
  <c r="U33" i="4" s="1"/>
  <c r="V33" i="4" s="1"/>
  <c r="T24" i="4"/>
  <c r="U24" i="4" s="1"/>
  <c r="V24" i="4" s="1"/>
  <c r="T81" i="4"/>
  <c r="U81" i="4" s="1"/>
  <c r="V81" i="4" s="1"/>
  <c r="T80" i="4"/>
  <c r="U80" i="4" s="1"/>
  <c r="V80" i="4" s="1"/>
  <c r="T19" i="4"/>
  <c r="U19" i="4" s="1"/>
  <c r="V19" i="4" s="1"/>
  <c r="T18" i="4"/>
  <c r="U18" i="4" s="1"/>
  <c r="V18" i="4" s="1"/>
  <c r="T35" i="4"/>
  <c r="U35" i="4" s="1"/>
  <c r="V35" i="4" s="1"/>
  <c r="T36" i="4"/>
  <c r="U36" i="4" s="1"/>
  <c r="V36" i="4" s="1"/>
  <c r="T34" i="4"/>
  <c r="U34" i="4" s="1"/>
  <c r="V34" i="4" s="1"/>
  <c r="T40" i="4"/>
  <c r="U40" i="4" s="1"/>
  <c r="V40" i="4" s="1"/>
  <c r="T39" i="4"/>
  <c r="U39" i="4" s="1"/>
  <c r="V39" i="4" s="1"/>
  <c r="T20" i="4"/>
  <c r="U20" i="4" s="1"/>
  <c r="V20" i="4" s="1"/>
  <c r="T21" i="4"/>
  <c r="U21" i="4" s="1"/>
  <c r="V21" i="4" s="1"/>
  <c r="T10" i="4"/>
  <c r="U10" i="4" s="1"/>
  <c r="V10" i="4" s="1"/>
  <c r="T9" i="4"/>
  <c r="U9" i="4" s="1"/>
  <c r="V9" i="4" s="1"/>
  <c r="T26" i="4"/>
  <c r="U26" i="4" s="1"/>
  <c r="V26" i="4" s="1"/>
  <c r="E32" i="5" s="1"/>
  <c r="T25" i="4"/>
  <c r="U25" i="4" s="1"/>
  <c r="V25" i="4" s="1"/>
  <c r="T83" i="4"/>
  <c r="U83" i="4" s="1"/>
  <c r="V83" i="4" s="1"/>
  <c r="T82" i="4"/>
  <c r="U82" i="4" s="1"/>
  <c r="V82" i="4" s="1"/>
  <c r="T75" i="4"/>
  <c r="U75" i="4" s="1"/>
  <c r="V75" i="4" s="1"/>
  <c r="T57" i="4"/>
  <c r="U57" i="4" s="1"/>
  <c r="V57" i="4" s="1"/>
  <c r="T76" i="4"/>
  <c r="U76" i="4" s="1"/>
  <c r="V76" i="4" s="1"/>
  <c r="T7" i="4"/>
  <c r="U7" i="4" s="1"/>
  <c r="V7" i="4" s="1"/>
  <c r="T8" i="4"/>
  <c r="U8" i="4" s="1"/>
  <c r="V8" i="4" s="1"/>
  <c r="T13" i="4"/>
  <c r="U13" i="4" s="1"/>
  <c r="V13" i="4" s="1"/>
  <c r="T12" i="4"/>
  <c r="U12" i="4" s="1"/>
  <c r="V12" i="4" s="1"/>
  <c r="T78" i="4"/>
  <c r="U78" i="4" s="1"/>
  <c r="V78" i="4" s="1"/>
  <c r="T77" i="4"/>
  <c r="U77" i="4" s="1"/>
  <c r="V77" i="4" s="1"/>
  <c r="T73" i="4"/>
  <c r="U73" i="4" s="1"/>
  <c r="V73" i="4" s="1"/>
  <c r="T72" i="4"/>
  <c r="U72" i="4" s="1"/>
  <c r="V72" i="4" s="1"/>
  <c r="T59" i="4"/>
  <c r="U59" i="4" s="1"/>
  <c r="V59" i="4" s="1"/>
  <c r="T58" i="4"/>
  <c r="U58" i="4" s="1"/>
  <c r="V58" i="4" s="1"/>
  <c r="T66" i="4"/>
  <c r="U66" i="4" s="1"/>
  <c r="V66" i="4" s="1"/>
  <c r="T67" i="4"/>
  <c r="U67" i="4" s="1"/>
  <c r="V67" i="4" s="1"/>
  <c r="T42" i="4"/>
  <c r="U42" i="4" s="1"/>
  <c r="V42" i="4" s="1"/>
  <c r="T43" i="4"/>
  <c r="U43" i="4" s="1"/>
  <c r="V43" i="4" s="1"/>
  <c r="T56" i="4"/>
  <c r="U56" i="4" s="1"/>
  <c r="V56" i="4" s="1"/>
  <c r="T55" i="4"/>
  <c r="U55" i="4" s="1"/>
  <c r="V55" i="4" s="1"/>
  <c r="T31" i="4"/>
  <c r="U31" i="4" s="1"/>
  <c r="V31" i="4" s="1"/>
  <c r="T30" i="4"/>
  <c r="U30" i="4" s="1"/>
  <c r="V30" i="4" s="1"/>
  <c r="I57" i="4"/>
  <c r="J57" i="4" s="1"/>
  <c r="K57" i="4" s="1"/>
  <c r="L57" i="4"/>
  <c r="I58" i="4"/>
  <c r="J58" i="4" s="1"/>
  <c r="K58" i="4" s="1"/>
  <c r="F57" i="4"/>
  <c r="L81" i="4"/>
  <c r="I81" i="4"/>
  <c r="J81" i="4" s="1"/>
  <c r="K81" i="4" s="1"/>
  <c r="F81" i="4"/>
  <c r="I82" i="4"/>
  <c r="J82" i="4" s="1"/>
  <c r="K82" i="4" s="1"/>
  <c r="F68" i="4"/>
  <c r="I68" i="4"/>
  <c r="J68" i="4" s="1"/>
  <c r="K68" i="4" s="1"/>
  <c r="L68" i="4"/>
  <c r="I69" i="4"/>
  <c r="J69" i="4" s="1"/>
  <c r="K69" i="4" s="1"/>
  <c r="F74" i="4"/>
  <c r="I74" i="4"/>
  <c r="J74" i="4" s="1"/>
  <c r="K74" i="4" s="1"/>
  <c r="L74" i="4"/>
  <c r="L75" i="4"/>
  <c r="I75" i="4"/>
  <c r="J75" i="4" s="1"/>
  <c r="K75" i="4" s="1"/>
  <c r="F75" i="4"/>
  <c r="F76" i="4"/>
  <c r="L76" i="4"/>
  <c r="I76" i="4"/>
  <c r="J76" i="4" s="1"/>
  <c r="K76" i="4" s="1"/>
  <c r="I77" i="4"/>
  <c r="J77" i="4" s="1"/>
  <c r="K77" i="4" s="1"/>
  <c r="F83" i="4"/>
  <c r="I83" i="4"/>
  <c r="J83" i="4" s="1"/>
  <c r="K83" i="4" s="1"/>
  <c r="L83" i="4"/>
  <c r="I47" i="4"/>
  <c r="J47" i="4" s="1"/>
  <c r="K47" i="4" s="1"/>
  <c r="L47" i="4"/>
  <c r="F47" i="4"/>
  <c r="I48" i="4"/>
  <c r="J48" i="4" s="1"/>
  <c r="K48" i="4" s="1"/>
  <c r="I49" i="4"/>
  <c r="J49" i="4" s="1"/>
  <c r="K49" i="4" s="1"/>
  <c r="L49" i="4"/>
  <c r="F49" i="4"/>
  <c r="F43" i="4"/>
  <c r="I43" i="4"/>
  <c r="J43" i="4" s="1"/>
  <c r="K43" i="4" s="1"/>
  <c r="L43" i="4"/>
  <c r="I44" i="4"/>
  <c r="J44" i="4" s="1"/>
  <c r="K44" i="4" s="1"/>
  <c r="I16" i="4"/>
  <c r="J16" i="4" s="1"/>
  <c r="K16" i="4" s="1"/>
  <c r="L16" i="4"/>
  <c r="F16" i="4"/>
  <c r="L18" i="4"/>
  <c r="I18" i="4"/>
  <c r="J18" i="4" s="1"/>
  <c r="K18" i="4" s="1"/>
  <c r="F18" i="4"/>
  <c r="F22" i="4"/>
  <c r="I22" i="4"/>
  <c r="J22" i="4" s="1"/>
  <c r="K22" i="4" s="1"/>
  <c r="L22" i="4"/>
  <c r="I20" i="4"/>
  <c r="J20" i="4" s="1"/>
  <c r="K20" i="4" s="1"/>
  <c r="L20" i="4"/>
  <c r="F20" i="4"/>
  <c r="H15" i="3"/>
  <c r="H17" i="3" s="1"/>
  <c r="H18" i="3" s="1"/>
  <c r="H13" i="3"/>
  <c r="D27" i="5" l="1" a="1"/>
  <c r="B28" i="5"/>
  <c r="C28" i="5" s="1" a="1"/>
  <c r="D28" i="5" a="1"/>
  <c r="K8" i="4"/>
  <c r="E26" i="5" a="1"/>
  <c r="H19" i="3"/>
  <c r="B14" i="5" s="1"/>
  <c r="B19" i="5"/>
  <c r="B22" i="5" s="1"/>
  <c r="C13" i="6" s="1"/>
  <c r="D13" i="6" s="1"/>
  <c r="E13" i="6" s="1"/>
  <c r="H14" i="3"/>
  <c r="B12" i="5"/>
  <c r="B26" i="5" l="1"/>
  <c r="C26" i="5" s="1" a="1"/>
  <c r="D26" i="5" a="1"/>
  <c r="B13" i="5"/>
  <c r="C25" i="6" a="1"/>
  <c r="D12" i="5"/>
  <c r="C21" i="6"/>
  <c r="D25" i="6" l="1"/>
  <c r="E25" i="6"/>
  <c r="D21" i="6"/>
  <c r="E21" i="6"/>
  <c r="B29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<sst xmlns="http://schemas.openxmlformats.org/spreadsheetml/2006/main" count="309" uniqueCount="185">
  <si>
    <t>Marginal Analysis — Market Garden: Inputs</t>
  </si>
  <si>
    <t>Group</t>
  </si>
  <si>
    <t>Name</t>
  </si>
  <si>
    <t>Value</t>
  </si>
  <si>
    <t>Unit</t>
  </si>
  <si>
    <t>Source</t>
  </si>
  <si>
    <t>Farm</t>
  </si>
  <si>
    <t>WEEKS</t>
  </si>
  <si>
    <t>weeks</t>
  </si>
  <si>
    <t>case scenario table</t>
  </si>
  <si>
    <t>TOTAL_BEDS</t>
  </si>
  <si>
    <t>beds</t>
  </si>
  <si>
    <t>FIXED_COST</t>
  </si>
  <si>
    <t>$</t>
  </si>
  <si>
    <t>FARMER_HOURS</t>
  </si>
  <si>
    <t>hrs</t>
  </si>
  <si>
    <t>FARMER_WAGE</t>
  </si>
  <si>
    <t>$/hr</t>
  </si>
  <si>
    <t>TEMP_WORKERS_MAX</t>
  </si>
  <si>
    <t>count</t>
  </si>
  <si>
    <t>TEMP_HOURS_PER_WORKER</t>
  </si>
  <si>
    <t>TEMP_WAGE</t>
  </si>
  <si>
    <t>Tomato</t>
  </si>
  <si>
    <t>BED_CAP_TOMATO</t>
  </si>
  <si>
    <t>PRICE_TOMATO</t>
  </si>
  <si>
    <t>$/bed</t>
  </si>
  <si>
    <t>HRS_PER_BED_TOMATO</t>
  </si>
  <si>
    <t>hrs/week/bed</t>
  </si>
  <si>
    <t>FERT_TOMATO</t>
  </si>
  <si>
    <t>DIM_PCT_TOMATO</t>
  </si>
  <si>
    <t>%/bed</t>
  </si>
  <si>
    <t>Carrot</t>
  </si>
  <si>
    <t>BED_CAP_CARROT</t>
  </si>
  <si>
    <t>PRICE_CARROT</t>
  </si>
  <si>
    <t>HRS_PER_BED_CARROT</t>
  </si>
  <si>
    <t>FERT_CARROT</t>
  </si>
  <si>
    <t>DIM_PCT_CARROT</t>
  </si>
  <si>
    <t>Mesclun</t>
  </si>
  <si>
    <t>BED_CAP_MESCLUN</t>
  </si>
  <si>
    <t>PRICE_MESCLUN</t>
  </si>
  <si>
    <t>HRS_PER_BED_MESCLUN</t>
  </si>
  <si>
    <t>FERT_MESCLUN</t>
  </si>
  <si>
    <t>DIM_PCT_MESCLUN</t>
  </si>
  <si>
    <t>Switch</t>
  </si>
  <si>
    <t>LABOR_MODE</t>
  </si>
  <si>
    <t>1 = fractional temp hours; 2 = whole workers</t>
  </si>
  <si>
    <t>modeling choice (agreed with user)</t>
  </si>
  <si>
    <t>Labor Hours by Bed Count</t>
  </si>
  <si>
    <t>LABOR_HRS_CROP(q) = q × HRS_PER_BED_CROP × WEEKS × (1 + DIM_PCT_CROP)^q</t>
  </si>
  <si>
    <t>q (beds)</t>
  </si>
  <si>
    <t>Tomato hrs</t>
  </si>
  <si>
    <t>Carrot hrs</t>
  </si>
  <si>
    <t>Mesclun hrs</t>
  </si>
  <si>
    <t>Farm summary at current bed counts</t>
  </si>
  <si>
    <t>Beds — Tomatoes</t>
  </si>
  <si>
    <t>Beds — Carrots</t>
  </si>
  <si>
    <t>Beds — Mesclun</t>
  </si>
  <si>
    <t>Labor hrs — Tomatoes</t>
  </si>
  <si>
    <t>Labor hrs — Carrots</t>
  </si>
  <si>
    <t>Labor hrs — Mesclun</t>
  </si>
  <si>
    <t>Total labor hours</t>
  </si>
  <si>
    <t>Farmer hours used</t>
  </si>
  <si>
    <t>Temp hours required</t>
  </si>
  <si>
    <t>Temp workers required (fractional)</t>
  </si>
  <si>
    <t>Temp workers billed</t>
  </si>
  <si>
    <t>Temp hours billed</t>
  </si>
  <si>
    <t>Farmer labor $</t>
  </si>
  <si>
    <t>Temp labor $</t>
  </si>
  <si>
    <t>Total labor $</t>
  </si>
  <si>
    <t>Blended labor rate ($/hr)</t>
  </si>
  <si>
    <t>Cost, Revenue &amp; Marginal Cost — Standalone (crop alone on the farm)</t>
  </si>
  <si>
    <t>Each block assumes the other two crops are at 0 beds, so the farmer's 720 hrs are applied entirely to this crop.</t>
  </si>
  <si>
    <t>Tomatoes — standalone</t>
  </si>
  <si>
    <t>Labor hrs</t>
  </si>
  <si>
    <t>Farmer hrs</t>
  </si>
  <si>
    <t>Temp hrs</t>
  </si>
  <si>
    <t>Labor $</t>
  </si>
  <si>
    <t>Blended $/hr</t>
  </si>
  <si>
    <t>Fertilizer $</t>
  </si>
  <si>
    <t>Revenue $</t>
  </si>
  <si>
    <t>MC labor $/bed</t>
  </si>
  <si>
    <t>MC total $/bed</t>
  </si>
  <si>
    <t>Price − MC</t>
  </si>
  <si>
    <t>Standalone profit</t>
  </si>
  <si>
    <t>Carrots — standalone</t>
  </si>
  <si>
    <t>Mesclun — standalone</t>
  </si>
  <si>
    <t>Marginal Cost at the Optimum (other two crops held at their solved bed counts)</t>
  </si>
  <si>
    <t>MC labor = change in TOTAL farm labor $ when this crop moves from q−1 to q beds, priced under the farm-wide blended rate. Rows extend to cap+1 for the shadow price.</t>
  </si>
  <si>
    <t>Tomatoes — at the optimum</t>
  </si>
  <si>
    <t>This crop hrs</t>
  </si>
  <si>
    <t>Other crops hrs</t>
  </si>
  <si>
    <t>Total farm hrs</t>
  </si>
  <si>
    <t>Total farm labor $</t>
  </si>
  <si>
    <t>Carrots — at the optimum</t>
  </si>
  <si>
    <t>Mesclun — at the optimum</t>
  </si>
  <si>
    <t>Optimization — Bed Allocation</t>
  </si>
  <si>
    <t>1. Decision variables (Solver changing cells, shown in blue)</t>
  </si>
  <si>
    <t>Crop</t>
  </si>
  <si>
    <t>Beds</t>
  </si>
  <si>
    <t>Bed cap</t>
  </si>
  <si>
    <t>Cap status</t>
  </si>
  <si>
    <t>Tomatoes</t>
  </si>
  <si>
    <t>Carrots</t>
  </si>
  <si>
    <t>Total beds</t>
  </si>
  <si>
    <t>2. Labor &amp; capacity</t>
  </si>
  <si>
    <t>Temp workers required</t>
  </si>
  <si>
    <t>Labor costing mode</t>
  </si>
  <si>
    <t>3. Season profit (Solver objective cell = B22)</t>
  </si>
  <si>
    <t>Revenue</t>
  </si>
  <si>
    <t>Labor cost</t>
  </si>
  <si>
    <t>Fertilizer cost</t>
  </si>
  <si>
    <t>Fixed cost</t>
  </si>
  <si>
    <t>Season profit</t>
  </si>
  <si>
    <t>5. Shadow price of a bed cap (profit gain from relaxing the cap by one bed, at the optimum)</t>
  </si>
  <si>
    <t>Beds used</t>
  </si>
  <si>
    <t>Cap binding?</t>
  </si>
  <si>
    <t>Shadow price $/bed</t>
  </si>
  <si>
    <t>4. Standalone P ≈ MC crossing point (crop alone on the farm; MC is NOT assumed monotonic)</t>
  </si>
  <si>
    <t>Crossing q (last q before P first drops below MC)</t>
  </si>
  <si>
    <t>MC total at crossing q</t>
  </si>
  <si>
    <t>Last q where P ≥ MC</t>
  </si>
  <si>
    <t>MC monotonically rising?</t>
  </si>
  <si>
    <t>Note: standalone crossings are below the farm optimum because a lone crop consumes the farmer's own $34.72/hr hours first. At full farm scale the marginal hour costs $17.36, lowering MC and making it pay to run carrots and mesclun to their caps.</t>
  </si>
  <si>
    <t>6. Solver setup (run in Excel desktop — Data ▸ Solver)</t>
  </si>
  <si>
    <t>Set Objective</t>
  </si>
  <si>
    <t>$B$22  (Season profit)</t>
  </si>
  <si>
    <t>To</t>
  </si>
  <si>
    <t>Max</t>
  </si>
  <si>
    <t>By Changing Variable Cells</t>
  </si>
  <si>
    <t>$B$5:$B$7  (Tomatoes, Carrots, Mesclun beds)</t>
  </si>
  <si>
    <t>Solving Method</t>
  </si>
  <si>
    <t>GRG Nonlinear</t>
  </si>
  <si>
    <t>Constraint 1</t>
  </si>
  <si>
    <t>$B$5:$B$7 = integer</t>
  </si>
  <si>
    <t>Constraint 2</t>
  </si>
  <si>
    <t>$B$5:$B$7 &gt;= 0</t>
  </si>
  <si>
    <t>Constraint 3</t>
  </si>
  <si>
    <t>$B$5 &lt;= $C$5   (tomato bed cap, 20)</t>
  </si>
  <si>
    <t>Constraint 4</t>
  </si>
  <si>
    <t>$B$6 &lt;= $C$6   (carrot bed cap, 20)</t>
  </si>
  <si>
    <t>Constraint 5</t>
  </si>
  <si>
    <t>$B$7 &lt;= $C$7   (mesclun bed cap, 30)</t>
  </si>
  <si>
    <t>Constraint 6</t>
  </si>
  <si>
    <t>$B$8 &lt;= $C$8   (64 beds total)</t>
  </si>
  <si>
    <t>Constraint 7</t>
  </si>
  <si>
    <t>$B$12 &lt;= $C$12  (temp workers &lt;= 4)</t>
  </si>
  <si>
    <t>Options</t>
  </si>
  <si>
    <t>Uncheck 'Ignore Integer Constraints'. Tick 'Use Multistart' and set Random Seed = 1 for repeatability.</t>
  </si>
  <si>
    <t>Run 1</t>
  </si>
  <si>
    <t>Start from beds 0 / 0 / 0 — record profit.</t>
  </si>
  <si>
    <t>Run 2</t>
  </si>
  <si>
    <t>Reset to 20 / 0 / 0 and re-run — should return the same optimum.</t>
  </si>
  <si>
    <t>Expected result</t>
  </si>
  <si>
    <t>Tomatoes 10, Carrots 20, Mesclun 30 — see Checks sheet.</t>
  </si>
  <si>
    <t>Validation &amp; Acceptance Checks</t>
  </si>
  <si>
    <t>A. Hand check — spec reproduction step 3</t>
  </si>
  <si>
    <t>Check</t>
  </si>
  <si>
    <t>Hand value</t>
  </si>
  <si>
    <t>Model value</t>
  </si>
  <si>
    <t>Delta</t>
  </si>
  <si>
    <t>Result</t>
  </si>
  <si>
    <t>LABOR_HRS_TOMATO(1) = 1 × 2.50 × 36 × 1.10 hrs</t>
  </si>
  <si>
    <t>B. Published check figures — spec reproduction step 7 (exact match required)</t>
  </si>
  <si>
    <t>Check figure</t>
  </si>
  <si>
    <t>Published</t>
  </si>
  <si>
    <t>Model</t>
  </si>
  <si>
    <t>Optimal beds — Tomatoes</t>
  </si>
  <si>
    <t>Optimal beds — Carrots</t>
  </si>
  <si>
    <t>Optimal beds — Mesclun</t>
  </si>
  <si>
    <t>C. Constraint checks — spec reproduction step 9</t>
  </si>
  <si>
    <t>Constraint</t>
  </si>
  <si>
    <t>Limit</t>
  </si>
  <si>
    <t>Actual</t>
  </si>
  <si>
    <t>Slack</t>
  </si>
  <si>
    <t>Tomato beds ≤ bed cap</t>
  </si>
  <si>
    <t>Carrot beds ≤ bed cap</t>
  </si>
  <si>
    <t>Mesclun beds ≤ bed cap</t>
  </si>
  <si>
    <t>Total beds ≤ 64</t>
  </si>
  <si>
    <t>Temp workers ≤ 4</t>
  </si>
  <si>
    <t>D. Integrity checks — spec reproduction step 8</t>
  </si>
  <si>
    <t>Expected</t>
  </si>
  <si>
    <t>Error cells (#REF!, #DIV/0!, #NAME?, etc.) across all calc ranges</t>
  </si>
  <si>
    <t>Calculated cells that are NOT formulas (pasted values)</t>
  </si>
  <si>
    <t>E. Overall</t>
  </si>
  <si>
    <t>All checks passing?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</si>
</sst>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;\(&quot;$&quot;#,##0\);\-"/>
    <numFmt numFmtId="165" formatCode="&quot;$&quot;#,##0.00"/>
    <numFmt numFmtId="166" formatCode="0.000"/>
    <numFmt numFmtId="167" formatCode="#,##0.0"/>
    <numFmt numFmtId="168" formatCode="&quot;$&quot;#,##0.00;\(&quot;$&quot;#,##0.00\);\-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8000"/>
      <name val="Aptos Narrow"/>
      <family val="2"/>
      <scheme val="minor"/>
    </font>
    <font>
      <b/>
      <sz val="12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7562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0" fontId="5" fillId="0" borderId="0" xfId="0" applyFont="1"/>
    <xf numFmtId="167" fontId="0" fillId="0" borderId="0" xfId="0" applyNumberFormat="1"/>
    <xf numFmtId="0" fontId="1" fillId="4" borderId="0" xfId="0" applyFont="1" applyFill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6" fillId="0" borderId="0" xfId="0" applyNumberFormat="1" applyFont="1"/>
    <xf numFmtId="0" fontId="3" fillId="2" borderId="0" xfId="0" applyFont="1" applyFill="1" applyAlignment="1">
      <alignment wrapText="1"/>
    </xf>
    <xf numFmtId="0" fontId="1" fillId="5" borderId="0" xfId="0" applyFont="1" applyFill="1"/>
    <xf numFmtId="0" fontId="3" fillId="6" borderId="0" xfId="0" applyFont="1" applyFill="1" applyAlignment="1">
      <alignment wrapText="1"/>
    </xf>
    <xf numFmtId="4" fontId="6" fillId="0" borderId="0" xfId="0" applyNumberFormat="1" applyFont="1"/>
    <xf numFmtId="3" fontId="4" fillId="3" borderId="0" xfId="0" applyNumberFormat="1" applyFont="1" applyFill="1"/>
    <xf numFmtId="167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164" fontId="1" fillId="0" borderId="1" xfId="0" applyNumberFormat="1" applyFont="1" applyBorder="1"/>
    <xf numFmtId="168" fontId="0" fillId="0" borderId="0" xfId="0" applyNumberFormat="1"/>
    <xf numFmtId="4" fontId="4" fillId="0" borderId="0" xfId="0" applyNumberFormat="1" applyFont="1"/>
    <xf numFmtId="0" fontId="7" fillId="2" borderId="0" xfId="0" applyFont="1" applyFill="1" applyAlignment="1">
      <alignment wrapText="1"/>
    </xf>
    <xf numFmtId="168" fontId="4" fillId="0" borderId="0" xfId="0" applyNumberFormat="1" applyFont="1"/>
  </cellXfs>
  <cellStyles count="1">
    <cellStyle name="Normal" xfId="0" builtinId="0"/>
  </cellStyles>
  <dxfs count="30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010E155-7789-314C-998B-6F1500E8268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59657a8-211d-4705-8778-9cf47113abc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ED3F648-2D14-0D4E-82A0-737675782C36}">
  <we:reference id="wa200009486" version="1.0.1.6" store="en-US" storeType="OMEX"/>
  <we:alternateReferences>
    <we:reference id="wa200009486" version="1.0.1.6" store="wa20000948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_xldudf_SOLVER_BASIN_HOPPING</we:customFunctionIds>
        <we:customFunctionIds>_xldudf_SOLVER_BRUTE</we:customFunctionIds>
        <we:customFunctionIds>_xldudf_SOLVER_CA_MINIMIZE</we:customFunctionIds>
        <we:customFunctionIds>_xldudf_SOLVER_CA_QUAD_PROG</we:customFunctionIds>
        <we:customFunctionIds>_xldudf_SOLVER_CA_ROOT</we:customFunctionIds>
        <we:customFunctionIds>_xldudf_SOLVER_DIFF_EVOLUTION</we:customFunctionIds>
        <we:customFunctionIds>_xldudf_SOLVER_DUAL_ANNEALING</we:customFunctionIds>
        <we:customFunctionIds>_xldudf_SOLVER_FIXED_POINT</we:customFunctionIds>
        <we:customFunctionIds>_xldudf_SOLVER_LINEAR_ASSIGNMENT</we:customFunctionIds>
        <we:customFunctionIds>_xldudf_SOLVER_LINEAR_PROG</we:customFunctionIds>
        <we:customFunctionIds>_xldudf_SOLVER_MILP</we:customFunctionIds>
        <we:customFunctionIds>_xldudf_SOLVER_MINIMIZE</we:customFunctionIds>
        <we:customFunctionIds>_xldudf_SOLVER_MINIMIZE_SCALAR</we:customFunctionIds>
        <we:customFunctionIds>_xldudf_SOLVER_QUAD_ASSIGN</we:customFunctionIds>
        <we:customFunctionIds>_xldudf_SOLVER_ROOT</we:customFunctionIds>
        <we:customFunctionIds>_xldudf_SOLVER_ROOT_SCALAR</we:customFunctionIds>
        <we:customFunctionIds>_xldudf_SOLVER_SHGO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CA06-DEC8-CA4B-9B6C-56BB145016DF}">
  <dimension ref="A1:E28"/>
  <sheetViews>
    <sheetView workbookViewId="0">
      <pane ySplit="3" topLeftCell="A4" activePane="bottomLeft" state="frozen"/>
      <selection pane="bottomLeft" activeCell="C20" sqref="C20"/>
    </sheetView>
  </sheetViews>
  <sheetFormatPr baseColWidth="10" defaultRowHeight="16" x14ac:dyDescent="0.2"/>
  <cols>
    <col min="1" max="1" width="43.1640625" bestFit="1" customWidth="1"/>
    <col min="2" max="2" width="24.83203125" bestFit="1" customWidth="1"/>
    <col min="3" max="3" width="11.1640625" bestFit="1" customWidth="1"/>
    <col min="4" max="4" width="36.6640625" bestFit="1" customWidth="1"/>
    <col min="5" max="5" width="29.6640625" bestFit="1" customWidth="1"/>
  </cols>
  <sheetData>
    <row r="1" spans="1:5" ht="19" x14ac:dyDescent="0.25">
      <c r="A1" s="2" t="s">
        <v>0</v>
      </c>
    </row>
    <row r="3" spans="1:5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">
      <c r="A4" t="s">
        <v>6</v>
      </c>
      <c r="B4" t="s">
        <v>7</v>
      </c>
      <c r="C4" s="6">
        <v>36</v>
      </c>
      <c r="D4" t="s">
        <v>8</v>
      </c>
      <c r="E4" t="s">
        <v>9</v>
      </c>
    </row>
    <row r="5" spans="1:5" x14ac:dyDescent="0.2">
      <c r="A5" t="s">
        <v>6</v>
      </c>
      <c r="B5" t="s">
        <v>10</v>
      </c>
      <c r="C5" s="6">
        <v>64</v>
      </c>
      <c r="D5" t="s">
        <v>11</v>
      </c>
      <c r="E5" t="s">
        <v>9</v>
      </c>
    </row>
    <row r="6" spans="1:5" x14ac:dyDescent="0.2">
      <c r="A6" t="s">
        <v>6</v>
      </c>
      <c r="B6" t="s">
        <v>12</v>
      </c>
      <c r="C6" s="7">
        <v>20000</v>
      </c>
      <c r="D6" t="s">
        <v>13</v>
      </c>
      <c r="E6" t="s">
        <v>9</v>
      </c>
    </row>
    <row r="7" spans="1:5" x14ac:dyDescent="0.2">
      <c r="A7" t="s">
        <v>6</v>
      </c>
      <c r="B7" t="s">
        <v>14</v>
      </c>
      <c r="C7" s="7">
        <v>720</v>
      </c>
      <c r="D7" t="s">
        <v>15</v>
      </c>
      <c r="E7" t="s">
        <v>9</v>
      </c>
    </row>
    <row r="8" spans="1:5" x14ac:dyDescent="0.2">
      <c r="A8" t="s">
        <v>6</v>
      </c>
      <c r="B8" t="s">
        <v>16</v>
      </c>
      <c r="C8" s="8">
        <f>50000/1440</f>
        <v>34.722222222222221</v>
      </c>
      <c r="D8" t="s">
        <v>17</v>
      </c>
      <c r="E8" t="s">
        <v>9</v>
      </c>
    </row>
    <row r="9" spans="1:5" x14ac:dyDescent="0.2">
      <c r="A9" t="s">
        <v>6</v>
      </c>
      <c r="B9" t="s">
        <v>18</v>
      </c>
      <c r="C9" s="6">
        <v>4</v>
      </c>
      <c r="D9" t="s">
        <v>19</v>
      </c>
      <c r="E9" t="s">
        <v>9</v>
      </c>
    </row>
    <row r="10" spans="1:5" x14ac:dyDescent="0.2">
      <c r="A10" t="s">
        <v>6</v>
      </c>
      <c r="B10" t="s">
        <v>20</v>
      </c>
      <c r="C10" s="6">
        <v>1440</v>
      </c>
      <c r="D10" t="s">
        <v>15</v>
      </c>
      <c r="E10" t="s">
        <v>9</v>
      </c>
    </row>
    <row r="11" spans="1:5" x14ac:dyDescent="0.2">
      <c r="A11" t="s">
        <v>6</v>
      </c>
      <c r="B11" t="s">
        <v>21</v>
      </c>
      <c r="C11" s="8">
        <f>25000/1440</f>
        <v>17.361111111111111</v>
      </c>
      <c r="D11" t="s">
        <v>17</v>
      </c>
      <c r="E11" t="s">
        <v>9</v>
      </c>
    </row>
    <row r="12" spans="1:5" x14ac:dyDescent="0.2">
      <c r="A12" t="s">
        <v>22</v>
      </c>
      <c r="B12" t="s">
        <v>23</v>
      </c>
      <c r="C12" s="6">
        <v>20</v>
      </c>
      <c r="D12" t="s">
        <v>11</v>
      </c>
      <c r="E12" t="s">
        <v>9</v>
      </c>
    </row>
    <row r="13" spans="1:5" x14ac:dyDescent="0.2">
      <c r="A13" t="s">
        <v>22</v>
      </c>
      <c r="B13" t="s">
        <v>24</v>
      </c>
      <c r="C13" s="7">
        <v>8800</v>
      </c>
      <c r="D13" t="s">
        <v>25</v>
      </c>
      <c r="E13" t="s">
        <v>9</v>
      </c>
    </row>
    <row r="14" spans="1:5" x14ac:dyDescent="0.2">
      <c r="A14" t="s">
        <v>22</v>
      </c>
      <c r="B14" t="s">
        <v>26</v>
      </c>
      <c r="C14" s="10">
        <v>2.5</v>
      </c>
      <c r="D14" t="s">
        <v>27</v>
      </c>
      <c r="E14" t="s">
        <v>9</v>
      </c>
    </row>
    <row r="15" spans="1:5" x14ac:dyDescent="0.2">
      <c r="A15" t="s">
        <v>22</v>
      </c>
      <c r="B15" t="s">
        <v>28</v>
      </c>
      <c r="C15" s="7">
        <v>880</v>
      </c>
      <c r="D15" t="s">
        <v>25</v>
      </c>
      <c r="E15" t="s">
        <v>9</v>
      </c>
    </row>
    <row r="16" spans="1:5" x14ac:dyDescent="0.2">
      <c r="A16" t="s">
        <v>22</v>
      </c>
      <c r="B16" t="s">
        <v>29</v>
      </c>
      <c r="C16" s="7">
        <v>0.1</v>
      </c>
      <c r="D16" t="s">
        <v>30</v>
      </c>
      <c r="E16" t="s">
        <v>9</v>
      </c>
    </row>
    <row r="17" spans="1:5" x14ac:dyDescent="0.2">
      <c r="A17" t="s">
        <v>31</v>
      </c>
      <c r="B17" t="s">
        <v>32</v>
      </c>
      <c r="C17" s="9">
        <v>20</v>
      </c>
      <c r="D17" t="s">
        <v>11</v>
      </c>
      <c r="E17" t="s">
        <v>9</v>
      </c>
    </row>
    <row r="18" spans="1:5" x14ac:dyDescent="0.2">
      <c r="A18" t="s">
        <v>31</v>
      </c>
      <c r="B18" t="s">
        <v>33</v>
      </c>
      <c r="C18" s="11">
        <v>2094</v>
      </c>
      <c r="D18" t="s">
        <v>25</v>
      </c>
      <c r="E18" t="s">
        <v>9</v>
      </c>
    </row>
    <row r="19" spans="1:5" x14ac:dyDescent="0.2">
      <c r="A19" t="s">
        <v>31</v>
      </c>
      <c r="B19" t="s">
        <v>34</v>
      </c>
      <c r="C19" s="6">
        <f>5/6</f>
        <v>0.83333333333333337</v>
      </c>
      <c r="D19" t="s">
        <v>27</v>
      </c>
      <c r="E19" t="s">
        <v>9</v>
      </c>
    </row>
    <row r="20" spans="1:5" x14ac:dyDescent="0.2">
      <c r="A20" t="s">
        <v>31</v>
      </c>
      <c r="B20" t="s">
        <v>35</v>
      </c>
      <c r="C20" s="7">
        <v>440</v>
      </c>
      <c r="D20" t="s">
        <v>25</v>
      </c>
      <c r="E20" t="s">
        <v>9</v>
      </c>
    </row>
    <row r="21" spans="1:5" x14ac:dyDescent="0.2">
      <c r="A21" t="s">
        <v>31</v>
      </c>
      <c r="B21" t="s">
        <v>36</v>
      </c>
      <c r="C21" s="7">
        <v>2.5000000000000001E-2</v>
      </c>
      <c r="D21" t="s">
        <v>30</v>
      </c>
      <c r="E21" t="s">
        <v>9</v>
      </c>
    </row>
    <row r="22" spans="1:5" x14ac:dyDescent="0.2">
      <c r="A22" t="s">
        <v>37</v>
      </c>
      <c r="B22" t="s">
        <v>38</v>
      </c>
      <c r="C22" s="9">
        <v>30</v>
      </c>
      <c r="D22" t="s">
        <v>11</v>
      </c>
      <c r="E22" t="s">
        <v>9</v>
      </c>
    </row>
    <row r="23" spans="1:5" x14ac:dyDescent="0.2">
      <c r="A23" t="s">
        <v>37</v>
      </c>
      <c r="B23" t="s">
        <v>39</v>
      </c>
      <c r="C23" s="11">
        <v>2700</v>
      </c>
      <c r="D23" t="s">
        <v>25</v>
      </c>
      <c r="E23" t="s">
        <v>9</v>
      </c>
    </row>
    <row r="24" spans="1:5" x14ac:dyDescent="0.2">
      <c r="A24" t="s">
        <v>37</v>
      </c>
      <c r="B24" t="s">
        <v>40</v>
      </c>
      <c r="C24" s="7">
        <v>1.25</v>
      </c>
      <c r="D24" t="s">
        <v>27</v>
      </c>
      <c r="E24" t="s">
        <v>9</v>
      </c>
    </row>
    <row r="25" spans="1:5" x14ac:dyDescent="0.2">
      <c r="A25" t="s">
        <v>37</v>
      </c>
      <c r="B25" t="s">
        <v>41</v>
      </c>
      <c r="C25" s="7">
        <v>880</v>
      </c>
      <c r="D25" t="s">
        <v>25</v>
      </c>
      <c r="E25" t="s">
        <v>9</v>
      </c>
    </row>
    <row r="26" spans="1:5" x14ac:dyDescent="0.2">
      <c r="A26" t="s">
        <v>37</v>
      </c>
      <c r="B26" t="s">
        <v>42</v>
      </c>
      <c r="C26" s="11">
        <v>1.2500000000000001E-2</v>
      </c>
      <c r="D26" t="s">
        <v>30</v>
      </c>
      <c r="E26" t="s">
        <v>9</v>
      </c>
    </row>
    <row r="28" spans="1:5" x14ac:dyDescent="0.2">
      <c r="A28" t="s">
        <v>43</v>
      </c>
      <c r="B28" t="s">
        <v>44</v>
      </c>
      <c r="C28" s="5">
        <v>1</v>
      </c>
      <c r="D28" t="s">
        <v>45</v>
      </c>
      <c r="E28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CDC7-3B84-634F-9FD5-82699B6B4A1E}">
  <dimension ref="A1:H36"/>
  <sheetViews>
    <sheetView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71.33203125" bestFit="1" customWidth="1"/>
    <col min="2" max="2" width="10.33203125" bestFit="1" customWidth="1"/>
    <col min="3" max="3" width="9.5" bestFit="1" customWidth="1"/>
    <col min="4" max="4" width="11.1640625" bestFit="1" customWidth="1"/>
    <col min="7" max="7" width="32" bestFit="1" customWidth="1"/>
    <col min="8" max="8" width="5.6640625" bestFit="1" customWidth="1"/>
  </cols>
  <sheetData>
    <row r="1" spans="1:8" ht="19" x14ac:dyDescent="0.25">
      <c r="A1" s="2" t="s">
        <v>47</v>
      </c>
    </row>
    <row r="3" spans="1:8" x14ac:dyDescent="0.2">
      <c r="A3" s="12" t="s">
        <v>48</v>
      </c>
      <c r="G3" s="14" t="s">
        <v>53</v>
      </c>
    </row>
    <row r="4" spans="1:8" x14ac:dyDescent="0.2">
      <c r="A4" s="3" t="s">
        <v>49</v>
      </c>
      <c r="B4" s="3" t="s">
        <v>50</v>
      </c>
      <c r="C4" s="3" t="s">
        <v>51</v>
      </c>
      <c r="D4" s="3" t="s">
        <v>52</v>
      </c>
      <c r="G4" t="s">
        <v>54</v>
      </c>
      <c r="H4" s="19">
        <f>Optimization!$B$5</f>
        <v>10</v>
      </c>
    </row>
    <row r="5" spans="1:8" x14ac:dyDescent="0.2">
      <c r="A5">
        <v>0</v>
      </c>
      <c r="B5" s="13">
        <f t="shared" ref="B5:B36" si="0">IF($A5&gt;BED_CAP_TOMATO,"",$A5*HRS_PER_BED_TOMATO*WEEKS*(1+DIM_PCT_TOMATO)^$A5)</f>
        <v>0</v>
      </c>
      <c r="C5" s="13">
        <f t="shared" ref="C5:C36" si="1">IF($A5&gt;BED_CAP_CARROT,"",$A5*HRS_PER_BED_CARROT*WEEKS*(1+DIM_PCT_CARROT)^$A5)</f>
        <v>0</v>
      </c>
      <c r="D5" s="13">
        <f t="shared" ref="D5:D36" si="2">IF($A5&gt;BED_CAP_MESCLUN,"",$A5*HRS_PER_BED_MESCLUN*WEEKS*(1+DIM_PCT_MESCLUN)^$A5)</f>
        <v>0</v>
      </c>
      <c r="G5" t="s">
        <v>55</v>
      </c>
      <c r="H5" s="19">
        <f>Optimization!$B$6</f>
        <v>20</v>
      </c>
    </row>
    <row r="6" spans="1:8" x14ac:dyDescent="0.2">
      <c r="A6">
        <v>1</v>
      </c>
      <c r="B6" s="13">
        <f t="shared" si="0"/>
        <v>99.000000000000014</v>
      </c>
      <c r="C6" s="13">
        <f t="shared" si="1"/>
        <v>30.749999999999996</v>
      </c>
      <c r="D6" s="13">
        <f t="shared" si="2"/>
        <v>45.5625</v>
      </c>
      <c r="G6" t="s">
        <v>56</v>
      </c>
      <c r="H6" s="19">
        <f>Optimization!$B$7</f>
        <v>30</v>
      </c>
    </row>
    <row r="7" spans="1:8" x14ac:dyDescent="0.2">
      <c r="A7">
        <v>2</v>
      </c>
      <c r="B7" s="13">
        <f t="shared" si="0"/>
        <v>217.80000000000004</v>
      </c>
      <c r="C7" s="13">
        <f t="shared" si="1"/>
        <v>63.037499999999994</v>
      </c>
      <c r="D7" s="13">
        <f t="shared" si="2"/>
        <v>92.264062499999994</v>
      </c>
      <c r="G7" t="s">
        <v>57</v>
      </c>
      <c r="H7" s="13">
        <f>$H$4*HRS_PER_BED_TOMATO*WEEKS*(1+DIM_PCT_TOMATO)^$H$4</f>
        <v>2334.3682140900019</v>
      </c>
    </row>
    <row r="8" spans="1:8" x14ac:dyDescent="0.2">
      <c r="A8">
        <v>3</v>
      </c>
      <c r="B8" s="13">
        <f t="shared" si="0"/>
        <v>359.37000000000012</v>
      </c>
      <c r="C8" s="13">
        <f t="shared" si="1"/>
        <v>96.920156249999991</v>
      </c>
      <c r="D8" s="13">
        <f t="shared" si="2"/>
        <v>140.12604492187498</v>
      </c>
      <c r="G8" t="s">
        <v>58</v>
      </c>
      <c r="H8" s="13">
        <f>$H$5*HRS_PER_BED_CARROT*WEEKS*(1+DIM_PCT_CARROT)^$H$5</f>
        <v>983.16986417423732</v>
      </c>
    </row>
    <row r="9" spans="1:8" x14ac:dyDescent="0.2">
      <c r="A9">
        <v>4</v>
      </c>
      <c r="B9" s="13">
        <f t="shared" si="0"/>
        <v>527.07600000000014</v>
      </c>
      <c r="C9" s="13">
        <f t="shared" si="1"/>
        <v>132.45754687499996</v>
      </c>
      <c r="D9" s="13">
        <f t="shared" si="2"/>
        <v>189.17016064453125</v>
      </c>
      <c r="G9" t="s">
        <v>59</v>
      </c>
      <c r="H9" s="13">
        <f>$H$6*HRS_PER_BED_MESCLUN*WEEKS*(1+DIM_PCT_MESCLUN)^$H$6</f>
        <v>1959.6780360096488</v>
      </c>
    </row>
    <row r="10" spans="1:8" x14ac:dyDescent="0.2">
      <c r="A10">
        <v>5</v>
      </c>
      <c r="B10" s="13">
        <f t="shared" si="0"/>
        <v>724.72950000000026</v>
      </c>
      <c r="C10" s="13">
        <f t="shared" si="1"/>
        <v>169.71123193359369</v>
      </c>
      <c r="D10" s="13">
        <f t="shared" si="2"/>
        <v>239.41848456573481</v>
      </c>
      <c r="G10" t="s">
        <v>60</v>
      </c>
      <c r="H10" s="13">
        <f>SUM($H$7:$H$9)</f>
        <v>5277.2161142738878</v>
      </c>
    </row>
    <row r="11" spans="1:8" x14ac:dyDescent="0.2">
      <c r="A11">
        <v>6</v>
      </c>
      <c r="B11" s="13">
        <f t="shared" si="0"/>
        <v>956.64294000000041</v>
      </c>
      <c r="C11" s="13">
        <f t="shared" si="1"/>
        <v>208.74481527832023</v>
      </c>
      <c r="D11" s="13">
        <f t="shared" si="2"/>
        <v>290.89345874736784</v>
      </c>
      <c r="G11" t="s">
        <v>61</v>
      </c>
      <c r="H11" s="13">
        <f>MIN($H$10,FARMER_HOURS)</f>
        <v>720</v>
      </c>
    </row>
    <row r="12" spans="1:8" x14ac:dyDescent="0.2">
      <c r="A12">
        <v>7</v>
      </c>
      <c r="B12" s="13">
        <f t="shared" si="0"/>
        <v>1227.6917730000007</v>
      </c>
      <c r="C12" s="13">
        <f t="shared" si="1"/>
        <v>249.62400827032465</v>
      </c>
      <c r="D12" s="13">
        <f t="shared" si="2"/>
        <v>343.61789814532818</v>
      </c>
      <c r="G12" t="s">
        <v>62</v>
      </c>
      <c r="H12" s="13">
        <f>MAX(0,$H$10-FARMER_HOURS)</f>
        <v>4557.2161142738878</v>
      </c>
    </row>
    <row r="13" spans="1:8" x14ac:dyDescent="0.2">
      <c r="A13">
        <v>8</v>
      </c>
      <c r="B13" s="13">
        <f t="shared" si="0"/>
        <v>1543.3839432000009</v>
      </c>
      <c r="C13" s="13">
        <f t="shared" si="1"/>
        <v>292.41669540238024</v>
      </c>
      <c r="D13" s="13">
        <f t="shared" si="2"/>
        <v>397.61499642530839</v>
      </c>
      <c r="G13" t="s">
        <v>63</v>
      </c>
      <c r="H13" s="16">
        <f>$H$12/TEMP_HOURS_PER_WORKER</f>
        <v>3.1647334126901998</v>
      </c>
    </row>
    <row r="14" spans="1:8" x14ac:dyDescent="0.2">
      <c r="A14">
        <v>9</v>
      </c>
      <c r="B14" s="13">
        <f t="shared" si="0"/>
        <v>1909.9376297100011</v>
      </c>
      <c r="C14" s="13">
        <f t="shared" si="1"/>
        <v>337.19300188586965</v>
      </c>
      <c r="D14" s="13">
        <f t="shared" si="2"/>
        <v>452.90833186570285</v>
      </c>
      <c r="G14" t="s">
        <v>64</v>
      </c>
      <c r="H14" s="16">
        <f>IF(LABOR_MODE=1,$H$13,ROUNDUP($H$13,0))</f>
        <v>3.1647334126901998</v>
      </c>
    </row>
    <row r="15" spans="1:8" x14ac:dyDescent="0.2">
      <c r="A15">
        <v>10</v>
      </c>
      <c r="B15" s="13">
        <f t="shared" si="0"/>
        <v>2334.3682140900019</v>
      </c>
      <c r="C15" s="13">
        <f t="shared" si="1"/>
        <v>384.02536325890713</v>
      </c>
      <c r="D15" s="13">
        <f t="shared" si="2"/>
        <v>509.52187334891573</v>
      </c>
      <c r="G15" t="s">
        <v>65</v>
      </c>
      <c r="H15" s="16">
        <f>IF(LABOR_MODE=1,$H$12,$H$14*TEMP_HOURS_PER_WORKER)</f>
        <v>4557.2161142738878</v>
      </c>
    </row>
    <row r="16" spans="1:8" x14ac:dyDescent="0.2">
      <c r="A16">
        <v>11</v>
      </c>
      <c r="B16" s="13">
        <f t="shared" si="0"/>
        <v>2824.5855390489023</v>
      </c>
      <c r="C16" s="13">
        <f t="shared" si="1"/>
        <v>432.98859707441784</v>
      </c>
      <c r="D16" s="13">
        <f t="shared" si="2"/>
        <v>567.47998644235474</v>
      </c>
      <c r="G16" t="s">
        <v>66</v>
      </c>
      <c r="H16" s="17">
        <f>$H$11*FARMER_WAGE</f>
        <v>25000</v>
      </c>
    </row>
    <row r="17" spans="1:8" x14ac:dyDescent="0.2">
      <c r="A17">
        <v>12</v>
      </c>
      <c r="B17" s="13">
        <f t="shared" si="0"/>
        <v>3389.502646858683</v>
      </c>
      <c r="C17" s="13">
        <f t="shared" si="1"/>
        <v>484.15997672866712</v>
      </c>
      <c r="D17" s="13">
        <f t="shared" si="2"/>
        <v>626.80743957041921</v>
      </c>
      <c r="G17" t="s">
        <v>67</v>
      </c>
      <c r="H17" s="17">
        <f>$H$15*TEMP_WAGE</f>
        <v>79118.335317254998</v>
      </c>
    </row>
    <row r="18" spans="1:8" x14ac:dyDescent="0.2">
      <c r="A18">
        <v>13</v>
      </c>
      <c r="B18" s="13">
        <f t="shared" si="0"/>
        <v>4039.1573208399304</v>
      </c>
      <c r="C18" s="13">
        <f t="shared" si="1"/>
        <v>537.61930749245744</v>
      </c>
      <c r="D18" s="13">
        <f t="shared" si="2"/>
        <v>687.52941027880343</v>
      </c>
      <c r="G18" t="s">
        <v>68</v>
      </c>
      <c r="H18" s="17">
        <f>$H$16+$H$17</f>
        <v>104118.335317255</v>
      </c>
    </row>
    <row r="19" spans="1:8" x14ac:dyDescent="0.2">
      <c r="A19">
        <v>14</v>
      </c>
      <c r="B19" s="13">
        <f t="shared" si="0"/>
        <v>4784.8479031488414</v>
      </c>
      <c r="C19" s="13">
        <f t="shared" si="1"/>
        <v>593.44900480898184</v>
      </c>
      <c r="D19" s="13">
        <f t="shared" si="2"/>
        <v>749.67149159246469</v>
      </c>
      <c r="G19" t="s">
        <v>69</v>
      </c>
      <c r="H19" s="18">
        <f>IF($H$10=0,0,$H$18/$H$10)</f>
        <v>19.729784239010844</v>
      </c>
    </row>
    <row r="20" spans="1:8" x14ac:dyDescent="0.2">
      <c r="A20">
        <v>15</v>
      </c>
      <c r="B20" s="13">
        <f t="shared" si="0"/>
        <v>5639.2850287111351</v>
      </c>
      <c r="C20" s="13">
        <f t="shared" si="1"/>
        <v>651.73417492414967</v>
      </c>
      <c r="D20" s="13">
        <f t="shared" si="2"/>
        <v>813.25969846861108</v>
      </c>
    </row>
    <row r="21" spans="1:8" x14ac:dyDescent="0.2">
      <c r="A21">
        <v>16</v>
      </c>
      <c r="B21" s="13">
        <f t="shared" si="0"/>
        <v>6616.761100354398</v>
      </c>
      <c r="C21" s="13">
        <f t="shared" si="1"/>
        <v>712.5626979170703</v>
      </c>
      <c r="D21" s="13">
        <f t="shared" si="2"/>
        <v>878.32047434610013</v>
      </c>
    </row>
    <row r="22" spans="1:8" x14ac:dyDescent="0.2">
      <c r="A22">
        <v>17</v>
      </c>
      <c r="B22" s="13">
        <f t="shared" si="0"/>
        <v>7733.3395360392033</v>
      </c>
      <c r="C22" s="13">
        <f t="shared" si="1"/>
        <v>776.02531320030937</v>
      </c>
      <c r="D22" s="13">
        <f t="shared" si="2"/>
        <v>944.88069779264049</v>
      </c>
    </row>
    <row r="23" spans="1:8" x14ac:dyDescent="0.2">
      <c r="A23">
        <v>18</v>
      </c>
      <c r="B23" s="13">
        <f t="shared" si="0"/>
        <v>9007.0660478574246</v>
      </c>
      <c r="C23" s="13">
        <f t="shared" si="1"/>
        <v>842.2157075615122</v>
      </c>
      <c r="D23" s="13">
        <f t="shared" si="2"/>
        <v>1012.9676892512279</v>
      </c>
    </row>
    <row r="24" spans="1:8" x14ac:dyDescent="0.2">
      <c r="A24">
        <v>19</v>
      </c>
      <c r="B24" s="13">
        <f t="shared" si="0"/>
        <v>10458.204466678902</v>
      </c>
      <c r="C24" s="13">
        <f t="shared" si="1"/>
        <v>911.23060582002495</v>
      </c>
      <c r="D24" s="13">
        <f t="shared" si="2"/>
        <v>1082.6092178872495</v>
      </c>
    </row>
    <row r="25" spans="1:8" x14ac:dyDescent="0.2">
      <c r="A25">
        <v>20</v>
      </c>
      <c r="B25" s="13">
        <f t="shared" si="0"/>
        <v>12109.499908786096</v>
      </c>
      <c r="C25" s="13">
        <f t="shared" si="1"/>
        <v>983.16986417423732</v>
      </c>
      <c r="D25" s="13">
        <f t="shared" si="2"/>
        <v>1153.8335085377266</v>
      </c>
    </row>
    <row r="26" spans="1:8" x14ac:dyDescent="0.2">
      <c r="A26">
        <v>21</v>
      </c>
      <c r="B26" s="13" t="str">
        <f t="shared" si="0"/>
        <v/>
      </c>
      <c r="C26" s="13" t="str">
        <f t="shared" si="1"/>
        <v/>
      </c>
      <c r="D26" s="13">
        <f t="shared" si="2"/>
        <v>1226.6692487641703</v>
      </c>
    </row>
    <row r="27" spans="1:8" x14ac:dyDescent="0.2">
      <c r="A27">
        <v>22</v>
      </c>
      <c r="B27" s="13" t="str">
        <f t="shared" si="0"/>
        <v/>
      </c>
      <c r="C27" s="13" t="str">
        <f t="shared" si="1"/>
        <v/>
      </c>
      <c r="D27" s="13">
        <f t="shared" si="2"/>
        <v>1301.1455960105666</v>
      </c>
    </row>
    <row r="28" spans="1:8" x14ac:dyDescent="0.2">
      <c r="A28">
        <v>23</v>
      </c>
      <c r="B28" s="13" t="str">
        <f t="shared" si="0"/>
        <v/>
      </c>
      <c r="C28" s="13" t="str">
        <f t="shared" si="1"/>
        <v/>
      </c>
      <c r="D28" s="13">
        <f t="shared" si="2"/>
        <v>1377.292184868003</v>
      </c>
    </row>
    <row r="29" spans="1:8" x14ac:dyDescent="0.2">
      <c r="A29">
        <v>24</v>
      </c>
      <c r="B29" s="13" t="str">
        <f t="shared" si="0"/>
        <v/>
      </c>
      <c r="C29" s="13" t="str">
        <f t="shared" si="1"/>
        <v/>
      </c>
      <c r="D29" s="13">
        <f t="shared" si="2"/>
        <v>1455.1391344474989</v>
      </c>
    </row>
    <row r="30" spans="1:8" x14ac:dyDescent="0.2">
      <c r="A30">
        <v>25</v>
      </c>
      <c r="B30" s="13" t="str">
        <f t="shared" si="0"/>
        <v/>
      </c>
      <c r="C30" s="13" t="str">
        <f t="shared" si="1"/>
        <v/>
      </c>
      <c r="D30" s="13">
        <f t="shared" si="2"/>
        <v>1534.7170558625965</v>
      </c>
    </row>
    <row r="31" spans="1:8" x14ac:dyDescent="0.2">
      <c r="A31">
        <v>26</v>
      </c>
      <c r="B31" s="13" t="str">
        <f t="shared" si="0"/>
        <v/>
      </c>
      <c r="C31" s="13" t="str">
        <f t="shared" si="1"/>
        <v/>
      </c>
      <c r="D31" s="13">
        <f t="shared" si="2"/>
        <v>1616.0570598233144</v>
      </c>
    </row>
    <row r="32" spans="1:8" x14ac:dyDescent="0.2">
      <c r="A32">
        <v>27</v>
      </c>
      <c r="B32" s="13" t="str">
        <f t="shared" si="0"/>
        <v/>
      </c>
      <c r="C32" s="13" t="str">
        <f t="shared" si="1"/>
        <v/>
      </c>
      <c r="D32" s="13">
        <f t="shared" si="2"/>
        <v>1699.1907643430709</v>
      </c>
    </row>
    <row r="33" spans="1:4" x14ac:dyDescent="0.2">
      <c r="A33">
        <v>28</v>
      </c>
      <c r="B33" s="13" t="str">
        <f t="shared" si="0"/>
        <v/>
      </c>
      <c r="C33" s="13" t="str">
        <f t="shared" si="1"/>
        <v/>
      </c>
      <c r="D33" s="13">
        <f t="shared" si="2"/>
        <v>1784.1503025602246</v>
      </c>
    </row>
    <row r="34" spans="1:4" x14ac:dyDescent="0.2">
      <c r="A34">
        <v>29</v>
      </c>
      <c r="B34" s="13" t="str">
        <f t="shared" si="0"/>
        <v/>
      </c>
      <c r="C34" s="13" t="str">
        <f t="shared" si="1"/>
        <v/>
      </c>
      <c r="D34" s="13">
        <f t="shared" si="2"/>
        <v>1870.9683306758782</v>
      </c>
    </row>
    <row r="35" spans="1:4" x14ac:dyDescent="0.2">
      <c r="A35">
        <v>30</v>
      </c>
      <c r="B35" s="13" t="str">
        <f t="shared" si="0"/>
        <v/>
      </c>
      <c r="C35" s="13" t="str">
        <f t="shared" si="1"/>
        <v/>
      </c>
      <c r="D35" s="13">
        <f t="shared" si="2"/>
        <v>1959.6780360096488</v>
      </c>
    </row>
    <row r="36" spans="1:4" x14ac:dyDescent="0.2">
      <c r="A36">
        <v>31</v>
      </c>
      <c r="B36" s="13" t="str">
        <f t="shared" si="0"/>
        <v/>
      </c>
      <c r="C36" s="13" t="str">
        <f t="shared" si="1"/>
        <v/>
      </c>
      <c r="D36" s="13" t="str">
        <f t="shared" si="2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5C80-B65E-B94C-8980-C7C0E17D255B}">
  <dimension ref="A1:V84"/>
  <sheetViews>
    <sheetView workbookViewId="0">
      <pane xSplit="1" topLeftCell="C1" activePane="topRight" state="frozen"/>
      <selection pane="topRight"/>
    </sheetView>
  </sheetViews>
  <sheetFormatPr baseColWidth="10" defaultRowHeight="16" x14ac:dyDescent="0.2"/>
  <cols>
    <col min="1" max="12" width="12" customWidth="1"/>
    <col min="14" max="22" width="12" customWidth="1"/>
  </cols>
  <sheetData>
    <row r="1" spans="1:22" ht="19" x14ac:dyDescent="0.25">
      <c r="A1" s="2" t="s">
        <v>70</v>
      </c>
      <c r="N1" s="2" t="s">
        <v>86</v>
      </c>
    </row>
    <row r="2" spans="1:22" x14ac:dyDescent="0.2">
      <c r="A2" s="12" t="s">
        <v>71</v>
      </c>
      <c r="N2" s="12" t="s">
        <v>87</v>
      </c>
    </row>
    <row r="3" spans="1:22" x14ac:dyDescent="0.2">
      <c r="A3" s="14" t="s">
        <v>72</v>
      </c>
      <c r="N3" s="21" t="s">
        <v>88</v>
      </c>
    </row>
    <row r="4" spans="1:22" ht="34" x14ac:dyDescent="0.2">
      <c r="A4" s="20" t="s">
        <v>49</v>
      </c>
      <c r="B4" s="20" t="s">
        <v>73</v>
      </c>
      <c r="C4" s="20" t="s">
        <v>74</v>
      </c>
      <c r="D4" s="20" t="s">
        <v>75</v>
      </c>
      <c r="E4" s="20" t="s">
        <v>76</v>
      </c>
      <c r="F4" s="20" t="s">
        <v>77</v>
      </c>
      <c r="G4" s="20" t="s">
        <v>78</v>
      </c>
      <c r="H4" s="20" t="s">
        <v>79</v>
      </c>
      <c r="I4" s="20" t="s">
        <v>80</v>
      </c>
      <c r="J4" s="20" t="s">
        <v>81</v>
      </c>
      <c r="K4" s="20" t="s">
        <v>82</v>
      </c>
      <c r="L4" s="20" t="s">
        <v>83</v>
      </c>
      <c r="N4" s="22" t="s">
        <v>49</v>
      </c>
      <c r="O4" s="22" t="s">
        <v>89</v>
      </c>
      <c r="P4" s="22" t="s">
        <v>90</v>
      </c>
      <c r="Q4" s="22" t="s">
        <v>91</v>
      </c>
      <c r="R4" s="22" t="s">
        <v>75</v>
      </c>
      <c r="S4" s="22" t="s">
        <v>92</v>
      </c>
      <c r="T4" s="22" t="s">
        <v>80</v>
      </c>
      <c r="U4" s="22" t="s">
        <v>81</v>
      </c>
      <c r="V4" s="22" t="s">
        <v>82</v>
      </c>
    </row>
    <row r="5" spans="1:22" x14ac:dyDescent="0.2">
      <c r="A5">
        <v>0</v>
      </c>
      <c r="B5" s="13" cm="1">
        <f t="array" ref="B5">INDEX(Labor!$B$5:$B$36,$A5+1)</f>
        <v>0</v>
      </c>
      <c r="C5" s="13">
        <f t="shared" ref="C5:C25" si="0">MIN($B5,FARMER_HOURS)</f>
        <v>0</v>
      </c>
      <c r="D5" s="13">
        <f t="shared" ref="D5:D25" si="1">MAX(0,$B5-FARMER_HOURS)</f>
        <v>0</v>
      </c>
      <c r="E5" s="17">
        <f t="shared" ref="E5:E25" si="2">$C5*FARMER_WAGE+IF(LABOR_MODE=1,$D5,ROUNDUP($D5/TEMP_HOURS_PER_WORKER,0)*TEMP_HOURS_PER_WORKER)*TEMP_WAGE</f>
        <v>0</v>
      </c>
      <c r="F5" s="18">
        <f>IF($B5=0,0,$E5/$B5)</f>
        <v>0</v>
      </c>
      <c r="G5" s="17">
        <f t="shared" ref="G5:G25" si="3">$A5*FERT_TOMATO</f>
        <v>0</v>
      </c>
      <c r="H5" s="17">
        <f t="shared" ref="H5:H25" si="4">$A5*PRICE_TOMATO</f>
        <v>0</v>
      </c>
      <c r="I5" s="17" t="str">
        <f>IF($A5=0,"",$E5-$E4)</f>
        <v/>
      </c>
      <c r="J5" s="17" t="str">
        <f t="shared" ref="J5:J25" si="5">IF($A5=0,"",$I5+FERT_TOMATO)</f>
        <v/>
      </c>
      <c r="K5" s="17" t="str">
        <f t="shared" ref="K5:K25" si="6">IF($A5=0,"",PRICE_TOMATO-$J5)</f>
        <v/>
      </c>
      <c r="L5" s="17">
        <f t="shared" ref="L5:L25" si="7">$H5-$E5-$G5-FIXED_COST</f>
        <v>-20000</v>
      </c>
      <c r="N5">
        <v>0</v>
      </c>
      <c r="O5" s="13">
        <f t="shared" ref="O5:O26" si="8">$N5*HRS_PER_BED_TOMATO*WEEKS*(1+DIM_PCT_TOMATO)^$N5</f>
        <v>0</v>
      </c>
      <c r="P5" s="13">
        <f>Labor!$H$8+Labor!$H$9</f>
        <v>2942.8479001838859</v>
      </c>
      <c r="Q5" s="13">
        <f>$O5+$P5</f>
        <v>2942.8479001838859</v>
      </c>
      <c r="R5" s="13">
        <f t="shared" ref="R5:R26" si="9">MAX(0,$Q5-FARMER_HOURS)</f>
        <v>2222.8479001838859</v>
      </c>
      <c r="S5" s="17">
        <f t="shared" ref="S5:S26" si="10">MIN($Q5,FARMER_HOURS)*FARMER_WAGE+IF(LABOR_MODE=1,$R5,ROUNDUP($R5/TEMP_HOURS_PER_WORKER,0)*TEMP_HOURS_PER_WORKER)*TEMP_WAGE</f>
        <v>63591.109378192465</v>
      </c>
      <c r="T5" s="17" t="str">
        <f>IF($N5=0,"",$S5-$S4)</f>
        <v/>
      </c>
      <c r="U5" s="17" t="str">
        <f t="shared" ref="U5:U26" si="11">IF($N5=0,"",$T5+FERT_TOMATO)</f>
        <v/>
      </c>
      <c r="V5" s="17" t="str">
        <f t="shared" ref="V5:V26" si="12">IF($N5=0,"",PRICE_TOMATO-$U5)</f>
        <v/>
      </c>
    </row>
    <row r="6" spans="1:22" x14ac:dyDescent="0.2">
      <c r="A6">
        <v>1</v>
      </c>
      <c r="B6" s="13" cm="1">
        <f t="array" ref="B6">INDEX(Labor!$B$5:$B$36,$A6+1)</f>
        <v>99.000000000000014</v>
      </c>
      <c r="C6" s="13">
        <f t="shared" si="0"/>
        <v>99.000000000000014</v>
      </c>
      <c r="D6" s="13">
        <f t="shared" si="1"/>
        <v>0</v>
      </c>
      <c r="E6" s="17">
        <f t="shared" si="2"/>
        <v>3437.5000000000005</v>
      </c>
      <c r="F6" s="18">
        <f t="shared" ref="F6:F25" si="13">IF($B6=0,0,$E6/$B6)</f>
        <v>34.722222222222221</v>
      </c>
      <c r="G6" s="17">
        <f t="shared" si="3"/>
        <v>880</v>
      </c>
      <c r="H6" s="17">
        <f t="shared" si="4"/>
        <v>8800</v>
      </c>
      <c r="I6" s="17">
        <f t="shared" ref="I6:I25" si="14">IF($A6=0,"",$E6-$E5)</f>
        <v>3437.5000000000005</v>
      </c>
      <c r="J6" s="17">
        <f t="shared" si="5"/>
        <v>4317.5</v>
      </c>
      <c r="K6" s="17">
        <f t="shared" si="6"/>
        <v>4482.5</v>
      </c>
      <c r="L6" s="17">
        <f t="shared" si="7"/>
        <v>-15517.5</v>
      </c>
      <c r="N6">
        <v>1</v>
      </c>
      <c r="O6" s="13">
        <f t="shared" si="8"/>
        <v>99.000000000000014</v>
      </c>
      <c r="P6" s="13">
        <f>Labor!$H$8+Labor!$H$9</f>
        <v>2942.8479001838859</v>
      </c>
      <c r="Q6" s="13">
        <f t="shared" ref="Q6:Q26" si="15">$O6+$P6</f>
        <v>3041.8479001838859</v>
      </c>
      <c r="R6" s="13">
        <f t="shared" si="9"/>
        <v>2321.8479001838859</v>
      </c>
      <c r="S6" s="17">
        <f t="shared" si="10"/>
        <v>65309.859378192465</v>
      </c>
      <c r="T6" s="17">
        <f t="shared" ref="T6:T26" si="16">IF($N6=0,"",$S6-$S5)</f>
        <v>1718.75</v>
      </c>
      <c r="U6" s="17">
        <f t="shared" si="11"/>
        <v>2598.75</v>
      </c>
      <c r="V6" s="17">
        <f t="shared" si="12"/>
        <v>6201.25</v>
      </c>
    </row>
    <row r="7" spans="1:22" x14ac:dyDescent="0.2">
      <c r="A7">
        <v>2</v>
      </c>
      <c r="B7" s="13" cm="1">
        <f t="array" ref="B7">INDEX(Labor!$B$5:$B$36,$A7+1)</f>
        <v>217.80000000000004</v>
      </c>
      <c r="C7" s="13">
        <f t="shared" si="0"/>
        <v>217.80000000000004</v>
      </c>
      <c r="D7" s="13">
        <f t="shared" si="1"/>
        <v>0</v>
      </c>
      <c r="E7" s="17">
        <f t="shared" si="2"/>
        <v>7562.5000000000009</v>
      </c>
      <c r="F7" s="18">
        <f t="shared" si="13"/>
        <v>34.722222222222221</v>
      </c>
      <c r="G7" s="17">
        <f t="shared" si="3"/>
        <v>1760</v>
      </c>
      <c r="H7" s="17">
        <f t="shared" si="4"/>
        <v>17600</v>
      </c>
      <c r="I7" s="17">
        <f t="shared" si="14"/>
        <v>4125</v>
      </c>
      <c r="J7" s="17">
        <f t="shared" si="5"/>
        <v>5005</v>
      </c>
      <c r="K7" s="17">
        <f t="shared" si="6"/>
        <v>3795</v>
      </c>
      <c r="L7" s="17">
        <f t="shared" si="7"/>
        <v>-11722.5</v>
      </c>
      <c r="N7">
        <v>2</v>
      </c>
      <c r="O7" s="13">
        <f t="shared" si="8"/>
        <v>217.80000000000004</v>
      </c>
      <c r="P7" s="13">
        <f>Labor!$H$8+Labor!$H$9</f>
        <v>2942.8479001838859</v>
      </c>
      <c r="Q7" s="13">
        <f t="shared" si="15"/>
        <v>3160.6479001838861</v>
      </c>
      <c r="R7" s="13">
        <f t="shared" si="9"/>
        <v>2440.6479001838861</v>
      </c>
      <c r="S7" s="17">
        <f t="shared" si="10"/>
        <v>67372.359378192457</v>
      </c>
      <c r="T7" s="17">
        <f t="shared" si="16"/>
        <v>2062.4999999999927</v>
      </c>
      <c r="U7" s="17">
        <f t="shared" si="11"/>
        <v>2942.4999999999927</v>
      </c>
      <c r="V7" s="17">
        <f t="shared" si="12"/>
        <v>5857.5000000000073</v>
      </c>
    </row>
    <row r="8" spans="1:22" x14ac:dyDescent="0.2">
      <c r="A8">
        <v>3</v>
      </c>
      <c r="B8" s="13" cm="1">
        <f t="array" ref="B8">INDEX(Labor!$B$5:$B$36,$A8+1)</f>
        <v>359.37000000000012</v>
      </c>
      <c r="C8" s="13">
        <f t="shared" si="0"/>
        <v>359.37000000000012</v>
      </c>
      <c r="D8" s="13">
        <f t="shared" si="1"/>
        <v>0</v>
      </c>
      <c r="E8" s="17">
        <f t="shared" si="2"/>
        <v>12478.125000000004</v>
      </c>
      <c r="F8" s="18">
        <f t="shared" si="13"/>
        <v>34.722222222222221</v>
      </c>
      <c r="G8" s="17">
        <f t="shared" si="3"/>
        <v>2640</v>
      </c>
      <c r="H8" s="17">
        <f t="shared" si="4"/>
        <v>26400</v>
      </c>
      <c r="I8" s="17">
        <f t="shared" si="14"/>
        <v>4915.6250000000027</v>
      </c>
      <c r="J8" s="17">
        <f t="shared" si="5"/>
        <v>5795.6250000000027</v>
      </c>
      <c r="K8" s="17">
        <f t="shared" si="6"/>
        <v>3004.3749999999973</v>
      </c>
      <c r="L8" s="17">
        <f t="shared" si="7"/>
        <v>-8718.1250000000036</v>
      </c>
      <c r="N8">
        <v>3</v>
      </c>
      <c r="O8" s="13">
        <f t="shared" si="8"/>
        <v>359.37000000000012</v>
      </c>
      <c r="P8" s="13">
        <f>Labor!$H$8+Labor!$H$9</f>
        <v>2942.8479001838859</v>
      </c>
      <c r="Q8" s="13">
        <f t="shared" si="15"/>
        <v>3302.2179001838858</v>
      </c>
      <c r="R8" s="13">
        <f t="shared" si="9"/>
        <v>2582.2179001838858</v>
      </c>
      <c r="S8" s="17">
        <f t="shared" si="10"/>
        <v>69830.171878192457</v>
      </c>
      <c r="T8" s="17">
        <f t="shared" si="16"/>
        <v>2457.8125</v>
      </c>
      <c r="U8" s="17">
        <f t="shared" si="11"/>
        <v>3337.8125</v>
      </c>
      <c r="V8" s="17">
        <f t="shared" si="12"/>
        <v>5462.1875</v>
      </c>
    </row>
    <row r="9" spans="1:22" x14ac:dyDescent="0.2">
      <c r="A9">
        <v>4</v>
      </c>
      <c r="B9" s="13" cm="1">
        <f t="array" ref="B9">INDEX(Labor!$B$5:$B$36,$A9+1)</f>
        <v>527.07600000000014</v>
      </c>
      <c r="C9" s="13">
        <f t="shared" si="0"/>
        <v>527.07600000000014</v>
      </c>
      <c r="D9" s="13">
        <f t="shared" si="1"/>
        <v>0</v>
      </c>
      <c r="E9" s="17">
        <f t="shared" si="2"/>
        <v>18301.250000000004</v>
      </c>
      <c r="F9" s="18">
        <f t="shared" si="13"/>
        <v>34.722222222222221</v>
      </c>
      <c r="G9" s="17">
        <f t="shared" si="3"/>
        <v>3520</v>
      </c>
      <c r="H9" s="17">
        <f t="shared" si="4"/>
        <v>35200</v>
      </c>
      <c r="I9" s="17">
        <f t="shared" si="14"/>
        <v>5823.125</v>
      </c>
      <c r="J9" s="17">
        <f t="shared" si="5"/>
        <v>6703.125</v>
      </c>
      <c r="K9" s="17">
        <f t="shared" si="6"/>
        <v>2096.875</v>
      </c>
      <c r="L9" s="17">
        <f t="shared" si="7"/>
        <v>-6621.2500000000036</v>
      </c>
      <c r="N9">
        <v>4</v>
      </c>
      <c r="O9" s="13">
        <f t="shared" si="8"/>
        <v>527.07600000000014</v>
      </c>
      <c r="P9" s="13">
        <f>Labor!$H$8+Labor!$H$9</f>
        <v>2942.8479001838859</v>
      </c>
      <c r="Q9" s="13">
        <f t="shared" si="15"/>
        <v>3469.923900183886</v>
      </c>
      <c r="R9" s="13">
        <f t="shared" si="9"/>
        <v>2749.923900183886</v>
      </c>
      <c r="S9" s="17">
        <f t="shared" si="10"/>
        <v>72741.734378192457</v>
      </c>
      <c r="T9" s="17">
        <f t="shared" si="16"/>
        <v>2911.5625</v>
      </c>
      <c r="U9" s="17">
        <f t="shared" si="11"/>
        <v>3791.5625</v>
      </c>
      <c r="V9" s="17">
        <f t="shared" si="12"/>
        <v>5008.4375</v>
      </c>
    </row>
    <row r="10" spans="1:22" x14ac:dyDescent="0.2">
      <c r="A10">
        <v>5</v>
      </c>
      <c r="B10" s="13" cm="1">
        <f t="array" ref="B10">INDEX(Labor!$B$5:$B$36,$A10+1)</f>
        <v>724.72950000000026</v>
      </c>
      <c r="C10" s="13">
        <f t="shared" si="0"/>
        <v>720</v>
      </c>
      <c r="D10" s="13">
        <f t="shared" si="1"/>
        <v>4.7295000000002574</v>
      </c>
      <c r="E10" s="17">
        <f t="shared" si="2"/>
        <v>25082.109375000004</v>
      </c>
      <c r="F10" s="18">
        <f t="shared" si="13"/>
        <v>34.608925640532078</v>
      </c>
      <c r="G10" s="17">
        <f t="shared" si="3"/>
        <v>4400</v>
      </c>
      <c r="H10" s="17">
        <f t="shared" si="4"/>
        <v>44000</v>
      </c>
      <c r="I10" s="17">
        <f t="shared" si="14"/>
        <v>6780.859375</v>
      </c>
      <c r="J10" s="17">
        <f t="shared" si="5"/>
        <v>7660.859375</v>
      </c>
      <c r="K10" s="17">
        <f t="shared" si="6"/>
        <v>1139.140625</v>
      </c>
      <c r="L10" s="17">
        <f t="shared" si="7"/>
        <v>-5482.1093750000036</v>
      </c>
      <c r="N10">
        <v>5</v>
      </c>
      <c r="O10" s="13">
        <f t="shared" si="8"/>
        <v>724.72950000000026</v>
      </c>
      <c r="P10" s="13">
        <f>Labor!$H$8+Labor!$H$9</f>
        <v>2942.8479001838859</v>
      </c>
      <c r="Q10" s="13">
        <f t="shared" si="15"/>
        <v>3667.5774001838863</v>
      </c>
      <c r="R10" s="13">
        <f t="shared" si="9"/>
        <v>2947.5774001838863</v>
      </c>
      <c r="S10" s="17">
        <f t="shared" si="10"/>
        <v>76173.218753192472</v>
      </c>
      <c r="T10" s="17">
        <f t="shared" si="16"/>
        <v>3431.4843750000146</v>
      </c>
      <c r="U10" s="17">
        <f t="shared" si="11"/>
        <v>4311.4843750000146</v>
      </c>
      <c r="V10" s="17">
        <f t="shared" si="12"/>
        <v>4488.5156249999854</v>
      </c>
    </row>
    <row r="11" spans="1:22" x14ac:dyDescent="0.2">
      <c r="A11">
        <v>6</v>
      </c>
      <c r="B11" s="13" cm="1">
        <f t="array" ref="B11">INDEX(Labor!$B$5:$B$36,$A11+1)</f>
        <v>956.64294000000041</v>
      </c>
      <c r="C11" s="13">
        <f t="shared" si="0"/>
        <v>720</v>
      </c>
      <c r="D11" s="13">
        <f t="shared" si="1"/>
        <v>236.64294000000041</v>
      </c>
      <c r="E11" s="17">
        <f t="shared" si="2"/>
        <v>29108.384375000009</v>
      </c>
      <c r="F11" s="18">
        <f t="shared" si="13"/>
        <v>30.427637269763363</v>
      </c>
      <c r="G11" s="17">
        <f t="shared" si="3"/>
        <v>5280</v>
      </c>
      <c r="H11" s="17">
        <f t="shared" si="4"/>
        <v>52800</v>
      </c>
      <c r="I11" s="17">
        <f t="shared" si="14"/>
        <v>4026.2750000000051</v>
      </c>
      <c r="J11" s="17">
        <f t="shared" si="5"/>
        <v>4906.2750000000051</v>
      </c>
      <c r="K11" s="17">
        <f t="shared" si="6"/>
        <v>3893.7249999999949</v>
      </c>
      <c r="L11" s="17">
        <f t="shared" si="7"/>
        <v>-1588.3843750000087</v>
      </c>
      <c r="N11">
        <v>6</v>
      </c>
      <c r="O11" s="13">
        <f t="shared" si="8"/>
        <v>956.64294000000041</v>
      </c>
      <c r="P11" s="13">
        <f>Labor!$H$8+Labor!$H$9</f>
        <v>2942.8479001838859</v>
      </c>
      <c r="Q11" s="13">
        <f t="shared" si="15"/>
        <v>3899.4908401838866</v>
      </c>
      <c r="R11" s="13">
        <f t="shared" si="9"/>
        <v>3179.4908401838866</v>
      </c>
      <c r="S11" s="17">
        <f t="shared" si="10"/>
        <v>80199.493753192481</v>
      </c>
      <c r="T11" s="17">
        <f t="shared" si="16"/>
        <v>4026.2750000000087</v>
      </c>
      <c r="U11" s="17">
        <f t="shared" si="11"/>
        <v>4906.2750000000087</v>
      </c>
      <c r="V11" s="17">
        <f t="shared" si="12"/>
        <v>3893.7249999999913</v>
      </c>
    </row>
    <row r="12" spans="1:22" x14ac:dyDescent="0.2">
      <c r="A12">
        <v>7</v>
      </c>
      <c r="B12" s="13" cm="1">
        <f t="array" ref="B12">INDEX(Labor!$B$5:$B$36,$A12+1)</f>
        <v>1227.6917730000007</v>
      </c>
      <c r="C12" s="13">
        <f t="shared" si="0"/>
        <v>720</v>
      </c>
      <c r="D12" s="13">
        <f t="shared" si="1"/>
        <v>507.69177300000069</v>
      </c>
      <c r="E12" s="17">
        <f t="shared" si="2"/>
        <v>33814.09328125001</v>
      </c>
      <c r="F12" s="18">
        <f t="shared" si="13"/>
        <v>27.542819806164811</v>
      </c>
      <c r="G12" s="17">
        <f t="shared" si="3"/>
        <v>6160</v>
      </c>
      <c r="H12" s="17">
        <f t="shared" si="4"/>
        <v>61600</v>
      </c>
      <c r="I12" s="17">
        <f t="shared" si="14"/>
        <v>4705.7089062500017</v>
      </c>
      <c r="J12" s="17">
        <f t="shared" si="5"/>
        <v>5585.7089062500017</v>
      </c>
      <c r="K12" s="17">
        <f t="shared" si="6"/>
        <v>3214.2910937499983</v>
      </c>
      <c r="L12" s="17">
        <f t="shared" si="7"/>
        <v>1625.9067187499895</v>
      </c>
      <c r="N12">
        <v>7</v>
      </c>
      <c r="O12" s="13">
        <f t="shared" si="8"/>
        <v>1227.6917730000007</v>
      </c>
      <c r="P12" s="13">
        <f>Labor!$H$8+Labor!$H$9</f>
        <v>2942.8479001838859</v>
      </c>
      <c r="Q12" s="13">
        <f t="shared" si="15"/>
        <v>4170.5396731838864</v>
      </c>
      <c r="R12" s="13">
        <f t="shared" si="9"/>
        <v>3450.5396731838864</v>
      </c>
      <c r="S12" s="17">
        <f t="shared" si="10"/>
        <v>84905.202659442468</v>
      </c>
      <c r="T12" s="17">
        <f t="shared" si="16"/>
        <v>4705.7089062499872</v>
      </c>
      <c r="U12" s="17">
        <f t="shared" si="11"/>
        <v>5585.7089062499872</v>
      </c>
      <c r="V12" s="17">
        <f t="shared" si="12"/>
        <v>3214.2910937500128</v>
      </c>
    </row>
    <row r="13" spans="1:22" x14ac:dyDescent="0.2">
      <c r="A13">
        <v>8</v>
      </c>
      <c r="B13" s="13" cm="1">
        <f t="array" ref="B13">INDEX(Labor!$B$5:$B$36,$A13+1)</f>
        <v>1543.3839432000009</v>
      </c>
      <c r="C13" s="13">
        <f t="shared" si="0"/>
        <v>720</v>
      </c>
      <c r="D13" s="13">
        <f t="shared" si="1"/>
        <v>823.38394320000089</v>
      </c>
      <c r="E13" s="17">
        <f t="shared" si="2"/>
        <v>39294.860125000014</v>
      </c>
      <c r="F13" s="18">
        <f t="shared" si="13"/>
        <v>25.460197573085644</v>
      </c>
      <c r="G13" s="17">
        <f t="shared" si="3"/>
        <v>7040</v>
      </c>
      <c r="H13" s="17">
        <f t="shared" si="4"/>
        <v>70400</v>
      </c>
      <c r="I13" s="17">
        <f t="shared" si="14"/>
        <v>5480.7668437500033</v>
      </c>
      <c r="J13" s="17">
        <f t="shared" si="5"/>
        <v>6360.7668437500033</v>
      </c>
      <c r="K13" s="17">
        <f t="shared" si="6"/>
        <v>2439.2331562499967</v>
      </c>
      <c r="L13" s="17">
        <f t="shared" si="7"/>
        <v>4065.1398749999862</v>
      </c>
      <c r="N13">
        <v>8</v>
      </c>
      <c r="O13" s="13">
        <f t="shared" si="8"/>
        <v>1543.3839432000009</v>
      </c>
      <c r="P13" s="13">
        <f>Labor!$H$8+Labor!$H$9</f>
        <v>2942.8479001838859</v>
      </c>
      <c r="Q13" s="13">
        <f t="shared" si="15"/>
        <v>4486.2318433838864</v>
      </c>
      <c r="R13" s="13">
        <f t="shared" si="9"/>
        <v>3766.2318433838864</v>
      </c>
      <c r="S13" s="17">
        <f t="shared" si="10"/>
        <v>90385.969503192464</v>
      </c>
      <c r="T13" s="17">
        <f t="shared" si="16"/>
        <v>5480.766843749996</v>
      </c>
      <c r="U13" s="17">
        <f t="shared" si="11"/>
        <v>6360.766843749996</v>
      </c>
      <c r="V13" s="17">
        <f t="shared" si="12"/>
        <v>2439.233156250004</v>
      </c>
    </row>
    <row r="14" spans="1:22" x14ac:dyDescent="0.2">
      <c r="A14">
        <v>9</v>
      </c>
      <c r="B14" s="13" cm="1">
        <f t="array" ref="B14">INDEX(Labor!$B$5:$B$36,$A14+1)</f>
        <v>1909.9376297100011</v>
      </c>
      <c r="C14" s="13">
        <f t="shared" si="0"/>
        <v>720</v>
      </c>
      <c r="D14" s="13">
        <f t="shared" si="1"/>
        <v>1189.9376297100011</v>
      </c>
      <c r="E14" s="17">
        <f t="shared" si="2"/>
        <v>45658.639404687521</v>
      </c>
      <c r="F14" s="18">
        <f t="shared" si="13"/>
        <v>23.905827444019828</v>
      </c>
      <c r="G14" s="17">
        <f t="shared" si="3"/>
        <v>7920</v>
      </c>
      <c r="H14" s="17">
        <f t="shared" si="4"/>
        <v>79200</v>
      </c>
      <c r="I14" s="17">
        <f t="shared" si="14"/>
        <v>6363.7792796875074</v>
      </c>
      <c r="J14" s="17">
        <f t="shared" si="5"/>
        <v>7243.7792796875074</v>
      </c>
      <c r="K14" s="17">
        <f t="shared" si="6"/>
        <v>1556.2207203124926</v>
      </c>
      <c r="L14" s="17">
        <f t="shared" si="7"/>
        <v>5621.3605953124788</v>
      </c>
      <c r="N14">
        <v>9</v>
      </c>
      <c r="O14" s="13">
        <f t="shared" si="8"/>
        <v>1909.9376297100011</v>
      </c>
      <c r="P14" s="13">
        <f>Labor!$H$8+Labor!$H$9</f>
        <v>2942.8479001838859</v>
      </c>
      <c r="Q14" s="13">
        <f t="shared" si="15"/>
        <v>4852.7855298938866</v>
      </c>
      <c r="R14" s="13">
        <f t="shared" si="9"/>
        <v>4132.7855298938866</v>
      </c>
      <c r="S14" s="17">
        <f t="shared" si="10"/>
        <v>96749.748782879979</v>
      </c>
      <c r="T14" s="17">
        <f t="shared" si="16"/>
        <v>6363.7792796875146</v>
      </c>
      <c r="U14" s="17">
        <f t="shared" si="11"/>
        <v>7243.7792796875146</v>
      </c>
      <c r="V14" s="17">
        <f t="shared" si="12"/>
        <v>1556.2207203124854</v>
      </c>
    </row>
    <row r="15" spans="1:22" x14ac:dyDescent="0.2">
      <c r="A15">
        <v>10</v>
      </c>
      <c r="B15" s="13" cm="1">
        <f t="array" ref="B15">INDEX(Labor!$B$5:$B$36,$A15+1)</f>
        <v>2334.3682140900019</v>
      </c>
      <c r="C15" s="13">
        <f t="shared" si="0"/>
        <v>720</v>
      </c>
      <c r="D15" s="13">
        <f t="shared" si="1"/>
        <v>1614.3682140900019</v>
      </c>
      <c r="E15" s="17">
        <f t="shared" si="2"/>
        <v>53027.225939062533</v>
      </c>
      <c r="F15" s="18">
        <f t="shared" si="13"/>
        <v>22.715879019854604</v>
      </c>
      <c r="G15" s="17">
        <f t="shared" si="3"/>
        <v>8800</v>
      </c>
      <c r="H15" s="17">
        <f t="shared" si="4"/>
        <v>88000</v>
      </c>
      <c r="I15" s="17">
        <f t="shared" si="14"/>
        <v>7368.586534375012</v>
      </c>
      <c r="J15" s="17">
        <f t="shared" si="5"/>
        <v>8248.586534375012</v>
      </c>
      <c r="K15" s="17">
        <f t="shared" si="6"/>
        <v>551.41346562498802</v>
      </c>
      <c r="L15" s="17">
        <f t="shared" si="7"/>
        <v>6172.7740609374669</v>
      </c>
      <c r="N15">
        <v>10</v>
      </c>
      <c r="O15" s="13">
        <f t="shared" si="8"/>
        <v>2334.3682140900019</v>
      </c>
      <c r="P15" s="13">
        <f>Labor!$H$8+Labor!$H$9</f>
        <v>2942.8479001838859</v>
      </c>
      <c r="Q15" s="13">
        <f t="shared" si="15"/>
        <v>5277.2161142738878</v>
      </c>
      <c r="R15" s="13">
        <f t="shared" si="9"/>
        <v>4557.2161142738878</v>
      </c>
      <c r="S15" s="17">
        <f t="shared" si="10"/>
        <v>104118.335317255</v>
      </c>
      <c r="T15" s="17">
        <f t="shared" si="16"/>
        <v>7368.5865343750193</v>
      </c>
      <c r="U15" s="17">
        <f t="shared" si="11"/>
        <v>8248.5865343750193</v>
      </c>
      <c r="V15" s="17">
        <f t="shared" si="12"/>
        <v>551.41346562498074</v>
      </c>
    </row>
    <row r="16" spans="1:22" x14ac:dyDescent="0.2">
      <c r="A16">
        <v>11</v>
      </c>
      <c r="B16" s="13" cm="1">
        <f t="array" ref="B16">INDEX(Labor!$B$5:$B$36,$A16+1)</f>
        <v>2824.5855390489023</v>
      </c>
      <c r="C16" s="13">
        <f t="shared" si="0"/>
        <v>720</v>
      </c>
      <c r="D16" s="13">
        <f t="shared" si="1"/>
        <v>2104.5855390489023</v>
      </c>
      <c r="E16" s="17">
        <f t="shared" si="2"/>
        <v>61537.943386265666</v>
      </c>
      <c r="F16" s="18">
        <f t="shared" si="13"/>
        <v>21.786539134866064</v>
      </c>
      <c r="G16" s="17">
        <f t="shared" si="3"/>
        <v>9680</v>
      </c>
      <c r="H16" s="17">
        <f t="shared" si="4"/>
        <v>96800</v>
      </c>
      <c r="I16" s="17">
        <f t="shared" si="14"/>
        <v>8510.7174472031329</v>
      </c>
      <c r="J16" s="17">
        <f t="shared" si="5"/>
        <v>9390.7174472031329</v>
      </c>
      <c r="K16" s="17">
        <f t="shared" si="6"/>
        <v>-590.71744720313291</v>
      </c>
      <c r="L16" s="17">
        <f t="shared" si="7"/>
        <v>5582.056613734334</v>
      </c>
      <c r="N16">
        <v>11</v>
      </c>
      <c r="O16" s="13">
        <f t="shared" si="8"/>
        <v>2824.5855390489023</v>
      </c>
      <c r="P16" s="13">
        <f>Labor!$H$8+Labor!$H$9</f>
        <v>2942.8479001838859</v>
      </c>
      <c r="Q16" s="13">
        <f t="shared" si="15"/>
        <v>5767.4334392327883</v>
      </c>
      <c r="R16" s="13">
        <f t="shared" si="9"/>
        <v>5047.4334392327883</v>
      </c>
      <c r="S16" s="17">
        <f t="shared" si="10"/>
        <v>112629.05276445813</v>
      </c>
      <c r="T16" s="17">
        <f t="shared" si="16"/>
        <v>8510.7174472031329</v>
      </c>
      <c r="U16" s="17">
        <f t="shared" si="11"/>
        <v>9390.7174472031329</v>
      </c>
      <c r="V16" s="17">
        <f t="shared" si="12"/>
        <v>-590.71744720313291</v>
      </c>
    </row>
    <row r="17" spans="1:22" x14ac:dyDescent="0.2">
      <c r="A17">
        <v>12</v>
      </c>
      <c r="B17" s="13" cm="1">
        <f t="array" ref="B17">INDEX(Labor!$B$5:$B$36,$A17+1)</f>
        <v>3389.502646858683</v>
      </c>
      <c r="C17" s="13">
        <f t="shared" si="0"/>
        <v>720</v>
      </c>
      <c r="D17" s="13">
        <f t="shared" si="1"/>
        <v>2669.502646858683</v>
      </c>
      <c r="E17" s="17">
        <f t="shared" si="2"/>
        <v>71345.532063518796</v>
      </c>
      <c r="F17" s="18">
        <f t="shared" si="13"/>
        <v>21.048967797573571</v>
      </c>
      <c r="G17" s="17">
        <f t="shared" si="3"/>
        <v>10560</v>
      </c>
      <c r="H17" s="17">
        <f t="shared" si="4"/>
        <v>105600</v>
      </c>
      <c r="I17" s="17">
        <f t="shared" si="14"/>
        <v>9807.5886772531303</v>
      </c>
      <c r="J17" s="17">
        <f t="shared" si="5"/>
        <v>10687.58867725313</v>
      </c>
      <c r="K17" s="17">
        <f t="shared" si="6"/>
        <v>-1887.5886772531303</v>
      </c>
      <c r="L17" s="17">
        <f t="shared" si="7"/>
        <v>3694.4679364812037</v>
      </c>
      <c r="N17">
        <v>12</v>
      </c>
      <c r="O17" s="13">
        <f t="shared" si="8"/>
        <v>3389.502646858683</v>
      </c>
      <c r="P17" s="13">
        <f>Labor!$H$8+Labor!$H$9</f>
        <v>2942.8479001838859</v>
      </c>
      <c r="Q17" s="13">
        <f t="shared" si="15"/>
        <v>6332.3505470425689</v>
      </c>
      <c r="R17" s="13">
        <f t="shared" si="9"/>
        <v>5612.3505470425689</v>
      </c>
      <c r="S17" s="17">
        <f t="shared" si="10"/>
        <v>122436.64144171127</v>
      </c>
      <c r="T17" s="17">
        <f t="shared" si="16"/>
        <v>9807.5886772531376</v>
      </c>
      <c r="U17" s="17">
        <f t="shared" si="11"/>
        <v>10687.588677253138</v>
      </c>
      <c r="V17" s="17">
        <f t="shared" si="12"/>
        <v>-1887.5886772531376</v>
      </c>
    </row>
    <row r="18" spans="1:22" x14ac:dyDescent="0.2">
      <c r="A18">
        <v>13</v>
      </c>
      <c r="B18" s="13" cm="1">
        <f t="array" ref="B18">INDEX(Labor!$B$5:$B$36,$A18+1)</f>
        <v>4039.1573208399304</v>
      </c>
      <c r="C18" s="13">
        <f t="shared" si="0"/>
        <v>720</v>
      </c>
      <c r="D18" s="13">
        <f t="shared" si="1"/>
        <v>3319.1573208399304</v>
      </c>
      <c r="E18" s="17">
        <f t="shared" si="2"/>
        <v>82624.259042359903</v>
      </c>
      <c r="F18" s="18">
        <f t="shared" si="13"/>
        <v>20.455816022827861</v>
      </c>
      <c r="G18" s="17">
        <f t="shared" si="3"/>
        <v>11440</v>
      </c>
      <c r="H18" s="17">
        <f t="shared" si="4"/>
        <v>114400</v>
      </c>
      <c r="I18" s="17">
        <f t="shared" si="14"/>
        <v>11278.726978841107</v>
      </c>
      <c r="J18" s="17">
        <f t="shared" si="5"/>
        <v>12158.726978841107</v>
      </c>
      <c r="K18" s="17">
        <f t="shared" si="6"/>
        <v>-3358.7269788411068</v>
      </c>
      <c r="L18" s="17">
        <f t="shared" si="7"/>
        <v>335.74095764009689</v>
      </c>
      <c r="N18">
        <v>13</v>
      </c>
      <c r="O18" s="13">
        <f t="shared" si="8"/>
        <v>4039.1573208399304</v>
      </c>
      <c r="P18" s="13">
        <f>Labor!$H$8+Labor!$H$9</f>
        <v>2942.8479001838859</v>
      </c>
      <c r="Q18" s="13">
        <f t="shared" si="15"/>
        <v>6982.0052210238164</v>
      </c>
      <c r="R18" s="13">
        <f t="shared" si="9"/>
        <v>6262.0052210238164</v>
      </c>
      <c r="S18" s="17">
        <f t="shared" si="10"/>
        <v>133715.36842055235</v>
      </c>
      <c r="T18" s="17">
        <f t="shared" si="16"/>
        <v>11278.726978841078</v>
      </c>
      <c r="U18" s="17">
        <f t="shared" si="11"/>
        <v>12158.726978841078</v>
      </c>
      <c r="V18" s="17">
        <f t="shared" si="12"/>
        <v>-3358.7269788410777</v>
      </c>
    </row>
    <row r="19" spans="1:22" x14ac:dyDescent="0.2">
      <c r="A19">
        <v>14</v>
      </c>
      <c r="B19" s="13" cm="1">
        <f t="array" ref="B19">INDEX(Labor!$B$5:$B$36,$A19+1)</f>
        <v>4784.8479031488414</v>
      </c>
      <c r="C19" s="13">
        <f t="shared" si="0"/>
        <v>720</v>
      </c>
      <c r="D19" s="13">
        <f t="shared" si="1"/>
        <v>4064.8479031488414</v>
      </c>
      <c r="E19" s="17">
        <f t="shared" si="2"/>
        <v>95570.276096334055</v>
      </c>
      <c r="F19" s="18">
        <f t="shared" si="13"/>
        <v>19.973524348274601</v>
      </c>
      <c r="G19" s="17">
        <f t="shared" si="3"/>
        <v>12320</v>
      </c>
      <c r="H19" s="17">
        <f t="shared" si="4"/>
        <v>123200</v>
      </c>
      <c r="I19" s="17">
        <f t="shared" si="14"/>
        <v>12946.017053974152</v>
      </c>
      <c r="J19" s="17">
        <f t="shared" si="5"/>
        <v>13826.017053974152</v>
      </c>
      <c r="K19" s="17">
        <f t="shared" si="6"/>
        <v>-5026.0170539741521</v>
      </c>
      <c r="L19" s="17">
        <f t="shared" si="7"/>
        <v>-4690.2760963340552</v>
      </c>
      <c r="N19">
        <v>14</v>
      </c>
      <c r="O19" s="13">
        <f t="shared" si="8"/>
        <v>4784.8479031488414</v>
      </c>
      <c r="P19" s="13">
        <f>Labor!$H$8+Labor!$H$9</f>
        <v>2942.8479001838859</v>
      </c>
      <c r="Q19" s="13">
        <f t="shared" si="15"/>
        <v>7727.6958033327273</v>
      </c>
      <c r="R19" s="13">
        <f t="shared" si="9"/>
        <v>7007.6958033327273</v>
      </c>
      <c r="S19" s="17">
        <f t="shared" si="10"/>
        <v>146661.3854745265</v>
      </c>
      <c r="T19" s="17">
        <f t="shared" si="16"/>
        <v>12946.017053974152</v>
      </c>
      <c r="U19" s="17">
        <f t="shared" si="11"/>
        <v>13826.017053974152</v>
      </c>
      <c r="V19" s="17">
        <f t="shared" si="12"/>
        <v>-5026.0170539741521</v>
      </c>
    </row>
    <row r="20" spans="1:22" x14ac:dyDescent="0.2">
      <c r="A20">
        <v>15</v>
      </c>
      <c r="B20" s="13" cm="1">
        <f t="array" ref="B20">INDEX(Labor!$B$5:$B$36,$A20+1)</f>
        <v>5639.2850287111351</v>
      </c>
      <c r="C20" s="13">
        <f t="shared" si="0"/>
        <v>720</v>
      </c>
      <c r="D20" s="13">
        <f t="shared" si="1"/>
        <v>4919.2850287111351</v>
      </c>
      <c r="E20" s="17">
        <f t="shared" si="2"/>
        <v>110404.25397067942</v>
      </c>
      <c r="F20" s="18">
        <f t="shared" si="13"/>
        <v>19.577704160825586</v>
      </c>
      <c r="G20" s="17">
        <f t="shared" si="3"/>
        <v>13200</v>
      </c>
      <c r="H20" s="17">
        <f t="shared" si="4"/>
        <v>132000</v>
      </c>
      <c r="I20" s="17">
        <f t="shared" si="14"/>
        <v>14833.977874345364</v>
      </c>
      <c r="J20" s="17">
        <f t="shared" si="5"/>
        <v>15713.977874345364</v>
      </c>
      <c r="K20" s="17">
        <f t="shared" si="6"/>
        <v>-6913.9778743453644</v>
      </c>
      <c r="L20" s="17">
        <f t="shared" si="7"/>
        <v>-11604.25397067942</v>
      </c>
      <c r="N20">
        <v>15</v>
      </c>
      <c r="O20" s="13">
        <f t="shared" si="8"/>
        <v>5639.2850287111351</v>
      </c>
      <c r="P20" s="13">
        <f>Labor!$H$8+Labor!$H$9</f>
        <v>2942.8479001838859</v>
      </c>
      <c r="Q20" s="13">
        <f t="shared" si="15"/>
        <v>8582.1329288950219</v>
      </c>
      <c r="R20" s="13">
        <f t="shared" si="9"/>
        <v>7862.1329288950219</v>
      </c>
      <c r="S20" s="17">
        <f t="shared" si="10"/>
        <v>161495.36334887191</v>
      </c>
      <c r="T20" s="17">
        <f t="shared" si="16"/>
        <v>14833.977874345408</v>
      </c>
      <c r="U20" s="17">
        <f t="shared" si="11"/>
        <v>15713.977874345408</v>
      </c>
      <c r="V20" s="17">
        <f t="shared" si="12"/>
        <v>-6913.9778743454081</v>
      </c>
    </row>
    <row r="21" spans="1:22" x14ac:dyDescent="0.2">
      <c r="A21">
        <v>16</v>
      </c>
      <c r="B21" s="13" cm="1">
        <f t="array" ref="B21">INDEX(Labor!$B$5:$B$36,$A21+1)</f>
        <v>6616.761100354398</v>
      </c>
      <c r="C21" s="13">
        <f t="shared" si="0"/>
        <v>720</v>
      </c>
      <c r="D21" s="13">
        <f t="shared" si="1"/>
        <v>5896.761100354398</v>
      </c>
      <c r="E21" s="17">
        <f t="shared" si="2"/>
        <v>127374.32465893052</v>
      </c>
      <c r="F21" s="18">
        <f t="shared" si="13"/>
        <v>19.250252914845039</v>
      </c>
      <c r="G21" s="17">
        <f t="shared" si="3"/>
        <v>14080</v>
      </c>
      <c r="H21" s="17">
        <f t="shared" si="4"/>
        <v>140800</v>
      </c>
      <c r="I21" s="17">
        <f t="shared" si="14"/>
        <v>16970.0706882511</v>
      </c>
      <c r="J21" s="17">
        <f t="shared" si="5"/>
        <v>17850.0706882511</v>
      </c>
      <c r="K21" s="17">
        <f t="shared" si="6"/>
        <v>-9050.0706882511004</v>
      </c>
      <c r="L21" s="17">
        <f t="shared" si="7"/>
        <v>-20654.32465893052</v>
      </c>
      <c r="N21">
        <v>16</v>
      </c>
      <c r="O21" s="13">
        <f t="shared" si="8"/>
        <v>6616.761100354398</v>
      </c>
      <c r="P21" s="13">
        <f>Labor!$H$8+Labor!$H$9</f>
        <v>2942.8479001838859</v>
      </c>
      <c r="Q21" s="13">
        <f t="shared" si="15"/>
        <v>9559.609000538283</v>
      </c>
      <c r="R21" s="13">
        <f t="shared" si="9"/>
        <v>8839.609000538283</v>
      </c>
      <c r="S21" s="17">
        <f t="shared" si="10"/>
        <v>178465.43403712296</v>
      </c>
      <c r="T21" s="17">
        <f t="shared" si="16"/>
        <v>16970.070688251057</v>
      </c>
      <c r="U21" s="17">
        <f t="shared" si="11"/>
        <v>17850.070688251057</v>
      </c>
      <c r="V21" s="17">
        <f t="shared" si="12"/>
        <v>-9050.0706882510567</v>
      </c>
    </row>
    <row r="22" spans="1:22" x14ac:dyDescent="0.2">
      <c r="A22">
        <v>17</v>
      </c>
      <c r="B22" s="13" cm="1">
        <f t="array" ref="B22">INDEX(Labor!$B$5:$B$36,$A22+1)</f>
        <v>7733.3395360392033</v>
      </c>
      <c r="C22" s="13">
        <f t="shared" si="0"/>
        <v>720</v>
      </c>
      <c r="D22" s="13">
        <f t="shared" si="1"/>
        <v>7013.3395360392033</v>
      </c>
      <c r="E22" s="17">
        <f t="shared" si="2"/>
        <v>146759.36694512505</v>
      </c>
      <c r="F22" s="18">
        <f t="shared" si="13"/>
        <v>18.977489125001103</v>
      </c>
      <c r="G22" s="17">
        <f t="shared" si="3"/>
        <v>14960</v>
      </c>
      <c r="H22" s="17">
        <f t="shared" si="4"/>
        <v>149600</v>
      </c>
      <c r="I22" s="17">
        <f t="shared" si="14"/>
        <v>19385.042286194526</v>
      </c>
      <c r="J22" s="17">
        <f t="shared" si="5"/>
        <v>20265.042286194526</v>
      </c>
      <c r="K22" s="17">
        <f t="shared" si="6"/>
        <v>-11465.042286194526</v>
      </c>
      <c r="L22" s="17">
        <f t="shared" si="7"/>
        <v>-32119.366945125046</v>
      </c>
      <c r="N22">
        <v>17</v>
      </c>
      <c r="O22" s="13">
        <f t="shared" si="8"/>
        <v>7733.3395360392033</v>
      </c>
      <c r="P22" s="13">
        <f>Labor!$H$8+Labor!$H$9</f>
        <v>2942.8479001838859</v>
      </c>
      <c r="Q22" s="13">
        <f t="shared" si="15"/>
        <v>10676.187436223088</v>
      </c>
      <c r="R22" s="13">
        <f t="shared" si="9"/>
        <v>9956.1874362230883</v>
      </c>
      <c r="S22" s="17">
        <f t="shared" si="10"/>
        <v>197850.4763233175</v>
      </c>
      <c r="T22" s="17">
        <f t="shared" si="16"/>
        <v>19385.042286194541</v>
      </c>
      <c r="U22" s="17">
        <f t="shared" si="11"/>
        <v>20265.042286194541</v>
      </c>
      <c r="V22" s="17">
        <f t="shared" si="12"/>
        <v>-11465.042286194541</v>
      </c>
    </row>
    <row r="23" spans="1:22" x14ac:dyDescent="0.2">
      <c r="A23">
        <v>18</v>
      </c>
      <c r="B23" s="13" cm="1">
        <f t="array" ref="B23">INDEX(Labor!$B$5:$B$36,$A23+1)</f>
        <v>9007.0660478574246</v>
      </c>
      <c r="C23" s="13">
        <f t="shared" si="0"/>
        <v>720</v>
      </c>
      <c r="D23" s="13">
        <f t="shared" si="1"/>
        <v>8287.0660478574246</v>
      </c>
      <c r="E23" s="17">
        <f t="shared" si="2"/>
        <v>168872.67444196917</v>
      </c>
      <c r="F23" s="18">
        <f t="shared" si="13"/>
        <v>18.748910415966154</v>
      </c>
      <c r="G23" s="17">
        <f t="shared" si="3"/>
        <v>15840</v>
      </c>
      <c r="H23" s="17">
        <f t="shared" si="4"/>
        <v>158400</v>
      </c>
      <c r="I23" s="17">
        <f t="shared" si="14"/>
        <v>22113.307496844121</v>
      </c>
      <c r="J23" s="17">
        <f t="shared" si="5"/>
        <v>22993.307496844121</v>
      </c>
      <c r="K23" s="17">
        <f t="shared" si="6"/>
        <v>-14193.307496844121</v>
      </c>
      <c r="L23" s="17">
        <f t="shared" si="7"/>
        <v>-46312.674441969168</v>
      </c>
      <c r="N23">
        <v>18</v>
      </c>
      <c r="O23" s="13">
        <f t="shared" si="8"/>
        <v>9007.0660478574246</v>
      </c>
      <c r="P23" s="13">
        <f>Labor!$H$8+Labor!$H$9</f>
        <v>2942.8479001838859</v>
      </c>
      <c r="Q23" s="13">
        <f t="shared" si="15"/>
        <v>11949.913948041311</v>
      </c>
      <c r="R23" s="13">
        <f t="shared" si="9"/>
        <v>11229.913948041311</v>
      </c>
      <c r="S23" s="17">
        <f t="shared" si="10"/>
        <v>219963.78382016163</v>
      </c>
      <c r="T23" s="17">
        <f t="shared" si="16"/>
        <v>22113.307496844121</v>
      </c>
      <c r="U23" s="17">
        <f t="shared" si="11"/>
        <v>22993.307496844121</v>
      </c>
      <c r="V23" s="17">
        <f t="shared" si="12"/>
        <v>-14193.307496844121</v>
      </c>
    </row>
    <row r="24" spans="1:22" x14ac:dyDescent="0.2">
      <c r="A24">
        <v>19</v>
      </c>
      <c r="B24" s="13" cm="1">
        <f t="array" ref="B24">INDEX(Labor!$B$5:$B$36,$A24+1)</f>
        <v>10458.204466678902</v>
      </c>
      <c r="C24" s="13">
        <f t="shared" si="0"/>
        <v>720</v>
      </c>
      <c r="D24" s="13">
        <f t="shared" si="1"/>
        <v>9738.2044666789025</v>
      </c>
      <c r="E24" s="17">
        <f t="shared" si="2"/>
        <v>194066.04976873094</v>
      </c>
      <c r="F24" s="18">
        <f t="shared" si="13"/>
        <v>18.55634496218244</v>
      </c>
      <c r="G24" s="17">
        <f t="shared" si="3"/>
        <v>16720</v>
      </c>
      <c r="H24" s="17">
        <f t="shared" si="4"/>
        <v>167200</v>
      </c>
      <c r="I24" s="17">
        <f t="shared" si="14"/>
        <v>25193.375326761772</v>
      </c>
      <c r="J24" s="17">
        <f t="shared" si="5"/>
        <v>26073.375326761772</v>
      </c>
      <c r="K24" s="17">
        <f t="shared" si="6"/>
        <v>-17273.375326761772</v>
      </c>
      <c r="L24" s="17">
        <f t="shared" si="7"/>
        <v>-63586.04976873094</v>
      </c>
      <c r="N24">
        <v>19</v>
      </c>
      <c r="O24" s="13">
        <f t="shared" si="8"/>
        <v>10458.204466678902</v>
      </c>
      <c r="P24" s="13">
        <f>Labor!$H$8+Labor!$H$9</f>
        <v>2942.8479001838859</v>
      </c>
      <c r="Q24" s="13">
        <f t="shared" si="15"/>
        <v>13401.052366862788</v>
      </c>
      <c r="R24" s="13">
        <f t="shared" si="9"/>
        <v>12681.052366862788</v>
      </c>
      <c r="S24" s="17">
        <f t="shared" si="10"/>
        <v>245157.1591469234</v>
      </c>
      <c r="T24" s="17">
        <f t="shared" si="16"/>
        <v>25193.375326761772</v>
      </c>
      <c r="U24" s="17">
        <f t="shared" si="11"/>
        <v>26073.375326761772</v>
      </c>
      <c r="V24" s="17">
        <f t="shared" si="12"/>
        <v>-17273.375326761772</v>
      </c>
    </row>
    <row r="25" spans="1:22" x14ac:dyDescent="0.2">
      <c r="A25">
        <v>20</v>
      </c>
      <c r="B25" s="13" cm="1">
        <f t="array" ref="B25">INDEX(Labor!$B$5:$B$36,$A25+1)</f>
        <v>12109.499908786096</v>
      </c>
      <c r="C25" s="13">
        <f t="shared" si="0"/>
        <v>720</v>
      </c>
      <c r="D25" s="13">
        <f t="shared" si="1"/>
        <v>11389.499908786096</v>
      </c>
      <c r="E25" s="17">
        <f t="shared" si="2"/>
        <v>222734.37341642528</v>
      </c>
      <c r="F25" s="18">
        <f t="shared" si="13"/>
        <v>18.393358527945441</v>
      </c>
      <c r="G25" s="17">
        <f t="shared" si="3"/>
        <v>17600</v>
      </c>
      <c r="H25" s="17">
        <f t="shared" si="4"/>
        <v>176000</v>
      </c>
      <c r="I25" s="17">
        <f t="shared" si="14"/>
        <v>28668.323647694342</v>
      </c>
      <c r="J25" s="17">
        <f t="shared" si="5"/>
        <v>29548.323647694342</v>
      </c>
      <c r="K25" s="17">
        <f t="shared" si="6"/>
        <v>-20748.323647694342</v>
      </c>
      <c r="L25" s="17">
        <f t="shared" si="7"/>
        <v>-84334.373416425282</v>
      </c>
      <c r="N25">
        <v>20</v>
      </c>
      <c r="O25" s="13">
        <f t="shared" si="8"/>
        <v>12109.499908786096</v>
      </c>
      <c r="P25" s="13">
        <f>Labor!$H$8+Labor!$H$9</f>
        <v>2942.8479001838859</v>
      </c>
      <c r="Q25" s="13">
        <f t="shared" si="15"/>
        <v>15052.347808969982</v>
      </c>
      <c r="R25" s="13">
        <f t="shared" si="9"/>
        <v>14332.347808969982</v>
      </c>
      <c r="S25" s="17">
        <f t="shared" si="10"/>
        <v>273825.48279461777</v>
      </c>
      <c r="T25" s="17">
        <f t="shared" si="16"/>
        <v>28668.323647694371</v>
      </c>
      <c r="U25" s="17">
        <f t="shared" si="11"/>
        <v>29548.323647694371</v>
      </c>
      <c r="V25" s="17">
        <f t="shared" si="12"/>
        <v>-20748.323647694371</v>
      </c>
    </row>
    <row r="26" spans="1:22" x14ac:dyDescent="0.2">
      <c r="N26">
        <v>21</v>
      </c>
      <c r="O26" s="13">
        <f t="shared" si="8"/>
        <v>13986.472394647943</v>
      </c>
      <c r="P26" s="13">
        <f>Labor!$H$8+Labor!$H$9</f>
        <v>2942.8479001838859</v>
      </c>
      <c r="Q26" s="13">
        <f t="shared" si="15"/>
        <v>16929.320294831829</v>
      </c>
      <c r="R26" s="13">
        <f t="shared" si="9"/>
        <v>16209.320294831829</v>
      </c>
      <c r="S26" s="17">
        <f t="shared" si="10"/>
        <v>306411.81067416369</v>
      </c>
      <c r="T26" s="17">
        <f t="shared" si="16"/>
        <v>32586.327879545919</v>
      </c>
      <c r="U26" s="17">
        <f t="shared" si="11"/>
        <v>33466.327879545919</v>
      </c>
      <c r="V26" s="17">
        <f t="shared" si="12"/>
        <v>-24666.327879545919</v>
      </c>
    </row>
    <row r="27" spans="1:22" x14ac:dyDescent="0.2">
      <c r="A27" s="14" t="s">
        <v>84</v>
      </c>
      <c r="N27" s="21" t="s">
        <v>93</v>
      </c>
    </row>
    <row r="28" spans="1:22" ht="34" x14ac:dyDescent="0.2">
      <c r="A28" s="20" t="s">
        <v>49</v>
      </c>
      <c r="B28" s="20" t="s">
        <v>73</v>
      </c>
      <c r="C28" s="20" t="s">
        <v>74</v>
      </c>
      <c r="D28" s="20" t="s">
        <v>75</v>
      </c>
      <c r="E28" s="20" t="s">
        <v>76</v>
      </c>
      <c r="F28" s="20" t="s">
        <v>77</v>
      </c>
      <c r="G28" s="20" t="s">
        <v>78</v>
      </c>
      <c r="H28" s="20" t="s">
        <v>79</v>
      </c>
      <c r="I28" s="20" t="s">
        <v>80</v>
      </c>
      <c r="J28" s="20" t="s">
        <v>81</v>
      </c>
      <c r="K28" s="20" t="s">
        <v>82</v>
      </c>
      <c r="L28" s="20" t="s">
        <v>83</v>
      </c>
      <c r="N28" s="22" t="s">
        <v>49</v>
      </c>
      <c r="O28" s="22" t="s">
        <v>89</v>
      </c>
      <c r="P28" s="22" t="s">
        <v>90</v>
      </c>
      <c r="Q28" s="22" t="s">
        <v>91</v>
      </c>
      <c r="R28" s="22" t="s">
        <v>75</v>
      </c>
      <c r="S28" s="22" t="s">
        <v>92</v>
      </c>
      <c r="T28" s="22" t="s">
        <v>80</v>
      </c>
      <c r="U28" s="22" t="s">
        <v>81</v>
      </c>
      <c r="V28" s="22" t="s">
        <v>82</v>
      </c>
    </row>
    <row r="29" spans="1:22" x14ac:dyDescent="0.2">
      <c r="A29">
        <v>0</v>
      </c>
      <c r="B29" s="13" cm="1">
        <f t="array" ref="B29">INDEX(Labor!$C$5:$C$36,$A29+1)</f>
        <v>0</v>
      </c>
      <c r="C29" s="13">
        <f t="shared" ref="C29:C49" si="17">MIN($B29,FARMER_HOURS)</f>
        <v>0</v>
      </c>
      <c r="D29" s="13">
        <f t="shared" ref="D29:D49" si="18">MAX(0,$B29-FARMER_HOURS)</f>
        <v>0</v>
      </c>
      <c r="E29" s="17">
        <f t="shared" ref="E29:E49" si="19">$C29*FARMER_WAGE+IF(LABOR_MODE=1,$D29,ROUNDUP($D29/TEMP_HOURS_PER_WORKER,0)*TEMP_HOURS_PER_WORKER)*TEMP_WAGE</f>
        <v>0</v>
      </c>
      <c r="F29" s="18">
        <f>IF($B29=0,0,$E29/$B29)</f>
        <v>0</v>
      </c>
      <c r="G29" s="17">
        <f t="shared" ref="G29:G49" si="20">$A29*FERT_CARROT</f>
        <v>0</v>
      </c>
      <c r="H29" s="17">
        <f t="shared" ref="H29:H49" si="21">$A29*PRICE_CARROT</f>
        <v>0</v>
      </c>
      <c r="I29" s="17" t="str">
        <f>IF($A29=0,"",$E29-$E28)</f>
        <v/>
      </c>
      <c r="J29" s="17" t="str">
        <f t="shared" ref="J29:J49" si="22">IF($A29=0,"",$I29+FERT_CARROT)</f>
        <v/>
      </c>
      <c r="K29" s="17" t="str">
        <f t="shared" ref="K29:K49" si="23">IF($A29=0,"",PRICE_CARROT-$J29)</f>
        <v/>
      </c>
      <c r="L29" s="17">
        <f t="shared" ref="L29:L49" si="24">$H29-$E29-$G29-FIXED_COST</f>
        <v>-20000</v>
      </c>
      <c r="N29">
        <v>0</v>
      </c>
      <c r="O29" s="13">
        <f t="shared" ref="O29:O50" si="25">$N29*HRS_PER_BED_CARROT*WEEKS*(1+DIM_PCT_CARROT)^$N29</f>
        <v>0</v>
      </c>
      <c r="P29" s="13">
        <f>Labor!$H$7+Labor!$H$9</f>
        <v>4294.0462500996509</v>
      </c>
      <c r="Q29" s="13">
        <f>$O29+$P29</f>
        <v>4294.0462500996509</v>
      </c>
      <c r="R29" s="13">
        <f t="shared" ref="R29:R50" si="26">MAX(0,$Q29-FARMER_HOURS)</f>
        <v>3574.0462500996509</v>
      </c>
      <c r="S29" s="17">
        <f t="shared" ref="S29:S50" si="27">MIN($Q29,FARMER_HOURS)*FARMER_WAGE+IF(LABOR_MODE=1,$R29,ROUNDUP($R29/TEMP_HOURS_PER_WORKER,0)*TEMP_HOURS_PER_WORKER)*TEMP_WAGE</f>
        <v>87049.414064230048</v>
      </c>
      <c r="T29" s="17" t="str">
        <f>IF($N29=0,"",$S29-$S28)</f>
        <v/>
      </c>
      <c r="U29" s="17" t="str">
        <f t="shared" ref="U29:U50" si="28">IF($N29=0,"",$T29+FERT_CARROT)</f>
        <v/>
      </c>
      <c r="V29" s="17" t="str">
        <f t="shared" ref="V29:V50" si="29">IF($N29=0,"",PRICE_CARROT-$U29)</f>
        <v/>
      </c>
    </row>
    <row r="30" spans="1:22" x14ac:dyDescent="0.2">
      <c r="A30">
        <v>1</v>
      </c>
      <c r="B30" s="13" cm="1">
        <f t="array" ref="B30">INDEX(Labor!$C$5:$C$36,$A30+1)</f>
        <v>30.749999999999996</v>
      </c>
      <c r="C30" s="13">
        <f t="shared" si="17"/>
        <v>30.749999999999996</v>
      </c>
      <c r="D30" s="13">
        <f t="shared" si="18"/>
        <v>0</v>
      </c>
      <c r="E30" s="17">
        <f t="shared" si="19"/>
        <v>1067.7083333333333</v>
      </c>
      <c r="F30" s="18">
        <f t="shared" ref="F30:F49" si="30">IF($B30=0,0,$E30/$B30)</f>
        <v>34.722222222222221</v>
      </c>
      <c r="G30" s="17">
        <f t="shared" si="20"/>
        <v>440</v>
      </c>
      <c r="H30" s="17">
        <f t="shared" si="21"/>
        <v>2094</v>
      </c>
      <c r="I30" s="17">
        <f t="shared" ref="I30:I49" si="31">IF($A30=0,"",$E30-$E29)</f>
        <v>1067.7083333333333</v>
      </c>
      <c r="J30" s="17">
        <f t="shared" si="22"/>
        <v>1507.7083333333333</v>
      </c>
      <c r="K30" s="17">
        <f t="shared" si="23"/>
        <v>586.29166666666674</v>
      </c>
      <c r="L30" s="17">
        <f t="shared" si="24"/>
        <v>-19413.708333333332</v>
      </c>
      <c r="N30">
        <v>1</v>
      </c>
      <c r="O30" s="13">
        <f t="shared" si="25"/>
        <v>30.749999999999996</v>
      </c>
      <c r="P30" s="13">
        <f>Labor!$H$7+Labor!$H$9</f>
        <v>4294.0462500996509</v>
      </c>
      <c r="Q30" s="13">
        <f t="shared" ref="Q30:Q50" si="32">$O30+$P30</f>
        <v>4324.7962500996509</v>
      </c>
      <c r="R30" s="13">
        <f t="shared" si="26"/>
        <v>3604.7962500996509</v>
      </c>
      <c r="S30" s="17">
        <f t="shared" si="27"/>
        <v>87583.26823089672</v>
      </c>
      <c r="T30" s="17">
        <f t="shared" ref="T30:T50" si="33">IF($N30=0,"",$S30-$S29)</f>
        <v>533.85416666667152</v>
      </c>
      <c r="U30" s="17">
        <f t="shared" si="28"/>
        <v>973.85416666667152</v>
      </c>
      <c r="V30" s="17">
        <f t="shared" si="29"/>
        <v>1120.1458333333285</v>
      </c>
    </row>
    <row r="31" spans="1:22" x14ac:dyDescent="0.2">
      <c r="A31">
        <v>2</v>
      </c>
      <c r="B31" s="13" cm="1">
        <f t="array" ref="B31">INDEX(Labor!$C$5:$C$36,$A31+1)</f>
        <v>63.037499999999994</v>
      </c>
      <c r="C31" s="13">
        <f t="shared" si="17"/>
        <v>63.037499999999994</v>
      </c>
      <c r="D31" s="13">
        <f t="shared" si="18"/>
        <v>0</v>
      </c>
      <c r="E31" s="17">
        <f t="shared" si="19"/>
        <v>2188.802083333333</v>
      </c>
      <c r="F31" s="18">
        <f t="shared" si="30"/>
        <v>34.722222222222221</v>
      </c>
      <c r="G31" s="17">
        <f t="shared" si="20"/>
        <v>880</v>
      </c>
      <c r="H31" s="17">
        <f t="shared" si="21"/>
        <v>4188</v>
      </c>
      <c r="I31" s="17">
        <f t="shared" si="31"/>
        <v>1121.0937499999998</v>
      </c>
      <c r="J31" s="17">
        <f t="shared" si="22"/>
        <v>1561.0937499999998</v>
      </c>
      <c r="K31" s="17">
        <f t="shared" si="23"/>
        <v>532.90625000000023</v>
      </c>
      <c r="L31" s="17">
        <f t="shared" si="24"/>
        <v>-18880.802083333332</v>
      </c>
      <c r="N31">
        <v>2</v>
      </c>
      <c r="O31" s="13">
        <f t="shared" si="25"/>
        <v>63.037499999999994</v>
      </c>
      <c r="P31" s="13">
        <f>Labor!$H$7+Labor!$H$9</f>
        <v>4294.0462500996509</v>
      </c>
      <c r="Q31" s="13">
        <f t="shared" si="32"/>
        <v>4357.0837500996513</v>
      </c>
      <c r="R31" s="13">
        <f t="shared" si="26"/>
        <v>3637.0837500996513</v>
      </c>
      <c r="S31" s="17">
        <f t="shared" si="27"/>
        <v>88143.81510589672</v>
      </c>
      <c r="T31" s="17">
        <f t="shared" si="33"/>
        <v>560.546875</v>
      </c>
      <c r="U31" s="17">
        <f t="shared" si="28"/>
        <v>1000.546875</v>
      </c>
      <c r="V31" s="17">
        <f t="shared" si="29"/>
        <v>1093.453125</v>
      </c>
    </row>
    <row r="32" spans="1:22" x14ac:dyDescent="0.2">
      <c r="A32">
        <v>3</v>
      </c>
      <c r="B32" s="13" cm="1">
        <f t="array" ref="B32">INDEX(Labor!$C$5:$C$36,$A32+1)</f>
        <v>96.920156249999991</v>
      </c>
      <c r="C32" s="13">
        <f t="shared" si="17"/>
        <v>96.920156249999991</v>
      </c>
      <c r="D32" s="13">
        <f t="shared" si="18"/>
        <v>0</v>
      </c>
      <c r="E32" s="17">
        <f t="shared" si="19"/>
        <v>3365.2832031249995</v>
      </c>
      <c r="F32" s="18">
        <f t="shared" si="30"/>
        <v>34.722222222222221</v>
      </c>
      <c r="G32" s="17">
        <f t="shared" si="20"/>
        <v>1320</v>
      </c>
      <c r="H32" s="17">
        <f t="shared" si="21"/>
        <v>6282</v>
      </c>
      <c r="I32" s="17">
        <f t="shared" si="31"/>
        <v>1176.4811197916665</v>
      </c>
      <c r="J32" s="17">
        <f t="shared" si="22"/>
        <v>1616.4811197916665</v>
      </c>
      <c r="K32" s="17">
        <f t="shared" si="23"/>
        <v>477.51888020833348</v>
      </c>
      <c r="L32" s="17">
        <f t="shared" si="24"/>
        <v>-18403.283203125</v>
      </c>
      <c r="N32">
        <v>3</v>
      </c>
      <c r="O32" s="13">
        <f t="shared" si="25"/>
        <v>96.920156249999991</v>
      </c>
      <c r="P32" s="13">
        <f>Labor!$H$7+Labor!$H$9</f>
        <v>4294.0462500996509</v>
      </c>
      <c r="Q32" s="13">
        <f t="shared" si="32"/>
        <v>4390.9664063496512</v>
      </c>
      <c r="R32" s="13">
        <f t="shared" si="26"/>
        <v>3670.9664063496512</v>
      </c>
      <c r="S32" s="17">
        <f t="shared" si="27"/>
        <v>88732.055665792548</v>
      </c>
      <c r="T32" s="17">
        <f t="shared" si="33"/>
        <v>588.24055989582848</v>
      </c>
      <c r="U32" s="17">
        <f t="shared" si="28"/>
        <v>1028.2405598958285</v>
      </c>
      <c r="V32" s="17">
        <f t="shared" si="29"/>
        <v>1065.7594401041715</v>
      </c>
    </row>
    <row r="33" spans="1:22" x14ac:dyDescent="0.2">
      <c r="A33">
        <v>4</v>
      </c>
      <c r="B33" s="13" cm="1">
        <f t="array" ref="B33">INDEX(Labor!$C$5:$C$36,$A33+1)</f>
        <v>132.45754687499996</v>
      </c>
      <c r="C33" s="13">
        <f t="shared" si="17"/>
        <v>132.45754687499996</v>
      </c>
      <c r="D33" s="13">
        <f t="shared" si="18"/>
        <v>0</v>
      </c>
      <c r="E33" s="17">
        <f t="shared" si="19"/>
        <v>4599.2203776041652</v>
      </c>
      <c r="F33" s="18">
        <f t="shared" si="30"/>
        <v>34.722222222222221</v>
      </c>
      <c r="G33" s="17">
        <f t="shared" si="20"/>
        <v>1760</v>
      </c>
      <c r="H33" s="17">
        <f t="shared" si="21"/>
        <v>8376</v>
      </c>
      <c r="I33" s="17">
        <f t="shared" si="31"/>
        <v>1233.9371744791656</v>
      </c>
      <c r="J33" s="17">
        <f t="shared" si="22"/>
        <v>1673.9371744791656</v>
      </c>
      <c r="K33" s="17">
        <f t="shared" si="23"/>
        <v>420.06282552083439</v>
      </c>
      <c r="L33" s="17">
        <f t="shared" si="24"/>
        <v>-17983.220377604164</v>
      </c>
      <c r="N33">
        <v>4</v>
      </c>
      <c r="O33" s="13">
        <f t="shared" si="25"/>
        <v>132.45754687499996</v>
      </c>
      <c r="P33" s="13">
        <f>Labor!$H$7+Labor!$H$9</f>
        <v>4294.0462500996509</v>
      </c>
      <c r="Q33" s="13">
        <f t="shared" si="32"/>
        <v>4426.5037969746509</v>
      </c>
      <c r="R33" s="13">
        <f t="shared" si="26"/>
        <v>3706.5037969746509</v>
      </c>
      <c r="S33" s="17">
        <f t="shared" si="27"/>
        <v>89349.024253032141</v>
      </c>
      <c r="T33" s="17">
        <f t="shared" si="33"/>
        <v>616.96858723959303</v>
      </c>
      <c r="U33" s="17">
        <f t="shared" si="28"/>
        <v>1056.968587239593</v>
      </c>
      <c r="V33" s="17">
        <f t="shared" si="29"/>
        <v>1037.031412760407</v>
      </c>
    </row>
    <row r="34" spans="1:22" x14ac:dyDescent="0.2">
      <c r="A34">
        <v>5</v>
      </c>
      <c r="B34" s="13" cm="1">
        <f t="array" ref="B34">INDEX(Labor!$C$5:$C$36,$A34+1)</f>
        <v>169.71123193359369</v>
      </c>
      <c r="C34" s="13">
        <f t="shared" si="17"/>
        <v>169.71123193359369</v>
      </c>
      <c r="D34" s="13">
        <f t="shared" si="18"/>
        <v>0</v>
      </c>
      <c r="E34" s="17">
        <f t="shared" si="19"/>
        <v>5892.7511088053361</v>
      </c>
      <c r="F34" s="18">
        <f t="shared" si="30"/>
        <v>34.722222222222221</v>
      </c>
      <c r="G34" s="17">
        <f t="shared" si="20"/>
        <v>2200</v>
      </c>
      <c r="H34" s="17">
        <f t="shared" si="21"/>
        <v>10470</v>
      </c>
      <c r="I34" s="17">
        <f t="shared" si="31"/>
        <v>1293.530731201171</v>
      </c>
      <c r="J34" s="17">
        <f t="shared" si="22"/>
        <v>1733.530731201171</v>
      </c>
      <c r="K34" s="17">
        <f t="shared" si="23"/>
        <v>360.46926879882903</v>
      </c>
      <c r="L34" s="17">
        <f t="shared" si="24"/>
        <v>-17622.751108805336</v>
      </c>
      <c r="N34">
        <v>5</v>
      </c>
      <c r="O34" s="13">
        <f t="shared" si="25"/>
        <v>169.71123193359369</v>
      </c>
      <c r="P34" s="13">
        <f>Labor!$H$7+Labor!$H$9</f>
        <v>4294.0462500996509</v>
      </c>
      <c r="Q34" s="13">
        <f t="shared" si="32"/>
        <v>4463.7574820332447</v>
      </c>
      <c r="R34" s="13">
        <f t="shared" si="26"/>
        <v>3743.7574820332447</v>
      </c>
      <c r="S34" s="17">
        <f t="shared" si="27"/>
        <v>89995.789618632727</v>
      </c>
      <c r="T34" s="17">
        <f t="shared" si="33"/>
        <v>646.76536560058594</v>
      </c>
      <c r="U34" s="17">
        <f t="shared" si="28"/>
        <v>1086.7653656005859</v>
      </c>
      <c r="V34" s="17">
        <f t="shared" si="29"/>
        <v>1007.2346343994141</v>
      </c>
    </row>
    <row r="35" spans="1:22" x14ac:dyDescent="0.2">
      <c r="A35">
        <v>6</v>
      </c>
      <c r="B35" s="13" cm="1">
        <f t="array" ref="B35">INDEX(Labor!$C$5:$C$36,$A35+1)</f>
        <v>208.74481527832023</v>
      </c>
      <c r="C35" s="13">
        <f t="shared" si="17"/>
        <v>208.74481527832023</v>
      </c>
      <c r="D35" s="13">
        <f t="shared" si="18"/>
        <v>0</v>
      </c>
      <c r="E35" s="17">
        <f t="shared" si="19"/>
        <v>7248.0838638305631</v>
      </c>
      <c r="F35" s="18">
        <f t="shared" si="30"/>
        <v>34.722222222222221</v>
      </c>
      <c r="G35" s="17">
        <f t="shared" si="20"/>
        <v>2640</v>
      </c>
      <c r="H35" s="17">
        <f t="shared" si="21"/>
        <v>12564</v>
      </c>
      <c r="I35" s="17">
        <f t="shared" si="31"/>
        <v>1355.332755025227</v>
      </c>
      <c r="J35" s="17">
        <f t="shared" si="22"/>
        <v>1795.332755025227</v>
      </c>
      <c r="K35" s="17">
        <f t="shared" si="23"/>
        <v>298.66724497477298</v>
      </c>
      <c r="L35" s="17">
        <f t="shared" si="24"/>
        <v>-17324.083863830565</v>
      </c>
      <c r="N35">
        <v>6</v>
      </c>
      <c r="O35" s="13">
        <f t="shared" si="25"/>
        <v>208.74481527832023</v>
      </c>
      <c r="P35" s="13">
        <f>Labor!$H$7+Labor!$H$9</f>
        <v>4294.0462500996509</v>
      </c>
      <c r="Q35" s="13">
        <f t="shared" si="32"/>
        <v>4502.7910653779709</v>
      </c>
      <c r="R35" s="13">
        <f t="shared" si="26"/>
        <v>3782.7910653779709</v>
      </c>
      <c r="S35" s="17">
        <f t="shared" si="27"/>
        <v>90673.45599614532</v>
      </c>
      <c r="T35" s="17">
        <f t="shared" si="33"/>
        <v>677.66637751259259</v>
      </c>
      <c r="U35" s="17">
        <f t="shared" si="28"/>
        <v>1117.6663775125926</v>
      </c>
      <c r="V35" s="17">
        <f t="shared" si="29"/>
        <v>976.33362248740741</v>
      </c>
    </row>
    <row r="36" spans="1:22" x14ac:dyDescent="0.2">
      <c r="A36">
        <v>7</v>
      </c>
      <c r="B36" s="13" cm="1">
        <f t="array" ref="B36">INDEX(Labor!$C$5:$C$36,$A36+1)</f>
        <v>249.62400827032465</v>
      </c>
      <c r="C36" s="13">
        <f t="shared" si="17"/>
        <v>249.62400827032465</v>
      </c>
      <c r="D36" s="13">
        <f t="shared" si="18"/>
        <v>0</v>
      </c>
      <c r="E36" s="17">
        <f t="shared" si="19"/>
        <v>8667.50028716405</v>
      </c>
      <c r="F36" s="18">
        <f t="shared" si="30"/>
        <v>34.722222222222221</v>
      </c>
      <c r="G36" s="17">
        <f t="shared" si="20"/>
        <v>3080</v>
      </c>
      <c r="H36" s="17">
        <f t="shared" si="21"/>
        <v>14658</v>
      </c>
      <c r="I36" s="17">
        <f t="shared" si="31"/>
        <v>1419.4164233334868</v>
      </c>
      <c r="J36" s="17">
        <f t="shared" si="22"/>
        <v>1859.4164233334868</v>
      </c>
      <c r="K36" s="17">
        <f t="shared" si="23"/>
        <v>234.58357666651318</v>
      </c>
      <c r="L36" s="17">
        <f t="shared" si="24"/>
        <v>-17089.50028716405</v>
      </c>
      <c r="N36">
        <v>7</v>
      </c>
      <c r="O36" s="13">
        <f t="shared" si="25"/>
        <v>249.62400827032465</v>
      </c>
      <c r="P36" s="13">
        <f>Labor!$H$7+Labor!$H$9</f>
        <v>4294.0462500996509</v>
      </c>
      <c r="Q36" s="13">
        <f t="shared" si="32"/>
        <v>4543.6702583699753</v>
      </c>
      <c r="R36" s="13">
        <f t="shared" si="26"/>
        <v>3823.6702583699753</v>
      </c>
      <c r="S36" s="17">
        <f t="shared" si="27"/>
        <v>91383.164207812064</v>
      </c>
      <c r="T36" s="17">
        <f t="shared" si="33"/>
        <v>709.70821166674432</v>
      </c>
      <c r="U36" s="17">
        <f t="shared" si="28"/>
        <v>1149.7082116667443</v>
      </c>
      <c r="V36" s="17">
        <f t="shared" si="29"/>
        <v>944.29178833325568</v>
      </c>
    </row>
    <row r="37" spans="1:22" x14ac:dyDescent="0.2">
      <c r="A37">
        <v>8</v>
      </c>
      <c r="B37" s="13" cm="1">
        <f t="array" ref="B37">INDEX(Labor!$C$5:$C$36,$A37+1)</f>
        <v>292.41669540238024</v>
      </c>
      <c r="C37" s="13">
        <f t="shared" si="17"/>
        <v>292.41669540238024</v>
      </c>
      <c r="D37" s="13">
        <f t="shared" si="18"/>
        <v>0</v>
      </c>
      <c r="E37" s="17">
        <f t="shared" si="19"/>
        <v>10153.357479249315</v>
      </c>
      <c r="F37" s="18">
        <f t="shared" si="30"/>
        <v>34.722222222222221</v>
      </c>
      <c r="G37" s="17">
        <f t="shared" si="20"/>
        <v>3520</v>
      </c>
      <c r="H37" s="17">
        <f t="shared" si="21"/>
        <v>16752</v>
      </c>
      <c r="I37" s="17">
        <f t="shared" si="31"/>
        <v>1485.8571920852646</v>
      </c>
      <c r="J37" s="17">
        <f t="shared" si="22"/>
        <v>1925.8571920852646</v>
      </c>
      <c r="K37" s="17">
        <f t="shared" si="23"/>
        <v>168.14280791473539</v>
      </c>
      <c r="L37" s="17">
        <f t="shared" si="24"/>
        <v>-16921.357479249316</v>
      </c>
      <c r="N37">
        <v>8</v>
      </c>
      <c r="O37" s="13">
        <f t="shared" si="25"/>
        <v>292.41669540238024</v>
      </c>
      <c r="P37" s="13">
        <f>Labor!$H$7+Labor!$H$9</f>
        <v>4294.0462500996509</v>
      </c>
      <c r="Q37" s="13">
        <f t="shared" si="32"/>
        <v>4586.4629455020313</v>
      </c>
      <c r="R37" s="13">
        <f t="shared" si="26"/>
        <v>3866.4629455020313</v>
      </c>
      <c r="S37" s="17">
        <f t="shared" si="27"/>
        <v>92126.092803854714</v>
      </c>
      <c r="T37" s="17">
        <f t="shared" si="33"/>
        <v>742.92859604264959</v>
      </c>
      <c r="U37" s="17">
        <f t="shared" si="28"/>
        <v>1182.9285960426496</v>
      </c>
      <c r="V37" s="17">
        <f t="shared" si="29"/>
        <v>911.07140395735041</v>
      </c>
    </row>
    <row r="38" spans="1:22" x14ac:dyDescent="0.2">
      <c r="A38">
        <v>9</v>
      </c>
      <c r="B38" s="13" cm="1">
        <f t="array" ref="B38">INDEX(Labor!$C$5:$C$36,$A38+1)</f>
        <v>337.19300188586965</v>
      </c>
      <c r="C38" s="13">
        <f t="shared" si="17"/>
        <v>337.19300188586965</v>
      </c>
      <c r="D38" s="13">
        <f t="shared" si="18"/>
        <v>0</v>
      </c>
      <c r="E38" s="17">
        <f t="shared" si="19"/>
        <v>11708.090343259362</v>
      </c>
      <c r="F38" s="18">
        <f t="shared" si="30"/>
        <v>34.722222222222221</v>
      </c>
      <c r="G38" s="17">
        <f t="shared" si="20"/>
        <v>3960</v>
      </c>
      <c r="H38" s="17">
        <f t="shared" si="21"/>
        <v>18846</v>
      </c>
      <c r="I38" s="17">
        <f t="shared" si="31"/>
        <v>1554.7328640100477</v>
      </c>
      <c r="J38" s="17">
        <f t="shared" si="22"/>
        <v>1994.7328640100477</v>
      </c>
      <c r="K38" s="17">
        <f t="shared" si="23"/>
        <v>99.267135989952294</v>
      </c>
      <c r="L38" s="17">
        <f t="shared" si="24"/>
        <v>-16822.090343259362</v>
      </c>
      <c r="N38">
        <v>9</v>
      </c>
      <c r="O38" s="13">
        <f t="shared" si="25"/>
        <v>337.19300188586965</v>
      </c>
      <c r="P38" s="13">
        <f>Labor!$H$7+Labor!$H$9</f>
        <v>4294.0462500996509</v>
      </c>
      <c r="Q38" s="13">
        <f t="shared" si="32"/>
        <v>4631.2392519855202</v>
      </c>
      <c r="R38" s="13">
        <f t="shared" si="26"/>
        <v>3911.2392519855202</v>
      </c>
      <c r="S38" s="17">
        <f t="shared" si="27"/>
        <v>92903.459235859729</v>
      </c>
      <c r="T38" s="17">
        <f t="shared" si="33"/>
        <v>777.36643200501567</v>
      </c>
      <c r="U38" s="17">
        <f t="shared" si="28"/>
        <v>1217.3664320050157</v>
      </c>
      <c r="V38" s="17">
        <f t="shared" si="29"/>
        <v>876.63356799498433</v>
      </c>
    </row>
    <row r="39" spans="1:22" x14ac:dyDescent="0.2">
      <c r="A39">
        <v>10</v>
      </c>
      <c r="B39" s="13" cm="1">
        <f t="array" ref="B39">INDEX(Labor!$C$5:$C$36,$A39+1)</f>
        <v>384.02536325890713</v>
      </c>
      <c r="C39" s="13">
        <f t="shared" si="17"/>
        <v>384.02536325890713</v>
      </c>
      <c r="D39" s="13">
        <f t="shared" si="18"/>
        <v>0</v>
      </c>
      <c r="E39" s="17">
        <f t="shared" si="19"/>
        <v>13334.214002045386</v>
      </c>
      <c r="F39" s="18">
        <f t="shared" si="30"/>
        <v>34.722222222222221</v>
      </c>
      <c r="G39" s="17">
        <f t="shared" si="20"/>
        <v>4400</v>
      </c>
      <c r="H39" s="17">
        <f t="shared" si="21"/>
        <v>20940</v>
      </c>
      <c r="I39" s="17">
        <f t="shared" si="31"/>
        <v>1626.123658786024</v>
      </c>
      <c r="J39" s="17">
        <f t="shared" si="22"/>
        <v>2066.123658786024</v>
      </c>
      <c r="K39" s="17">
        <f t="shared" si="23"/>
        <v>27.876341213976048</v>
      </c>
      <c r="L39" s="17">
        <f t="shared" si="24"/>
        <v>-16794.214002045388</v>
      </c>
      <c r="N39">
        <v>10</v>
      </c>
      <c r="O39" s="13">
        <f t="shared" si="25"/>
        <v>384.02536325890713</v>
      </c>
      <c r="P39" s="13">
        <f>Labor!$H$7+Labor!$H$9</f>
        <v>4294.0462500996509</v>
      </c>
      <c r="Q39" s="13">
        <f t="shared" si="32"/>
        <v>4678.0716133585584</v>
      </c>
      <c r="R39" s="13">
        <f t="shared" si="26"/>
        <v>3958.0716133585584</v>
      </c>
      <c r="S39" s="17">
        <f t="shared" si="27"/>
        <v>93716.521065252746</v>
      </c>
      <c r="T39" s="17">
        <f t="shared" si="33"/>
        <v>813.06182939301652</v>
      </c>
      <c r="U39" s="17">
        <f t="shared" si="28"/>
        <v>1253.0618293930165</v>
      </c>
      <c r="V39" s="17">
        <f t="shared" si="29"/>
        <v>840.93817060698348</v>
      </c>
    </row>
    <row r="40" spans="1:22" x14ac:dyDescent="0.2">
      <c r="A40">
        <v>11</v>
      </c>
      <c r="B40" s="13" cm="1">
        <f t="array" ref="B40">INDEX(Labor!$C$5:$C$36,$A40+1)</f>
        <v>432.98859707441784</v>
      </c>
      <c r="C40" s="13">
        <f t="shared" si="17"/>
        <v>432.98859707441784</v>
      </c>
      <c r="D40" s="13">
        <f t="shared" si="18"/>
        <v>0</v>
      </c>
      <c r="E40" s="17">
        <f t="shared" si="19"/>
        <v>15034.326287306174</v>
      </c>
      <c r="F40" s="18">
        <f t="shared" si="30"/>
        <v>34.722222222222221</v>
      </c>
      <c r="G40" s="17">
        <f t="shared" si="20"/>
        <v>4840</v>
      </c>
      <c r="H40" s="17">
        <f t="shared" si="21"/>
        <v>23034</v>
      </c>
      <c r="I40" s="17">
        <f t="shared" si="31"/>
        <v>1700.1122852607878</v>
      </c>
      <c r="J40" s="17">
        <f t="shared" si="22"/>
        <v>2140.1122852607878</v>
      </c>
      <c r="K40" s="17">
        <f t="shared" si="23"/>
        <v>-46.112285260787758</v>
      </c>
      <c r="L40" s="17">
        <f t="shared" si="24"/>
        <v>-16840.326287306176</v>
      </c>
      <c r="N40">
        <v>11</v>
      </c>
      <c r="O40" s="13">
        <f t="shared" si="25"/>
        <v>432.98859707441784</v>
      </c>
      <c r="P40" s="13">
        <f>Labor!$H$7+Labor!$H$9</f>
        <v>4294.0462500996509</v>
      </c>
      <c r="Q40" s="13">
        <f t="shared" si="32"/>
        <v>4727.034847174069</v>
      </c>
      <c r="R40" s="13">
        <f t="shared" si="26"/>
        <v>4007.034847174069</v>
      </c>
      <c r="S40" s="17">
        <f t="shared" si="27"/>
        <v>94566.577207883136</v>
      </c>
      <c r="T40" s="17">
        <f t="shared" si="33"/>
        <v>850.05614263039024</v>
      </c>
      <c r="U40" s="17">
        <f t="shared" si="28"/>
        <v>1290.0561426303902</v>
      </c>
      <c r="V40" s="17">
        <f t="shared" si="29"/>
        <v>803.94385736960976</v>
      </c>
    </row>
    <row r="41" spans="1:22" x14ac:dyDescent="0.2">
      <c r="A41">
        <v>12</v>
      </c>
      <c r="B41" s="13" cm="1">
        <f t="array" ref="B41">INDEX(Labor!$C$5:$C$36,$A41+1)</f>
        <v>484.15997672866712</v>
      </c>
      <c r="C41" s="13">
        <f t="shared" si="17"/>
        <v>484.15997672866712</v>
      </c>
      <c r="D41" s="13">
        <f t="shared" si="18"/>
        <v>0</v>
      </c>
      <c r="E41" s="17">
        <f t="shared" si="19"/>
        <v>16811.11030307872</v>
      </c>
      <c r="F41" s="18">
        <f t="shared" si="30"/>
        <v>34.722222222222221</v>
      </c>
      <c r="G41" s="17">
        <f t="shared" si="20"/>
        <v>5280</v>
      </c>
      <c r="H41" s="17">
        <f t="shared" si="21"/>
        <v>25128</v>
      </c>
      <c r="I41" s="17">
        <f t="shared" si="31"/>
        <v>1776.7840157725459</v>
      </c>
      <c r="J41" s="17">
        <f t="shared" si="22"/>
        <v>2216.7840157725459</v>
      </c>
      <c r="K41" s="17">
        <f t="shared" si="23"/>
        <v>-122.7840157725459</v>
      </c>
      <c r="L41" s="17">
        <f t="shared" si="24"/>
        <v>-16963.11030307872</v>
      </c>
      <c r="N41">
        <v>12</v>
      </c>
      <c r="O41" s="13">
        <f t="shared" si="25"/>
        <v>484.15997672866712</v>
      </c>
      <c r="P41" s="13">
        <f>Labor!$H$7+Labor!$H$9</f>
        <v>4294.0462500996509</v>
      </c>
      <c r="Q41" s="13">
        <f t="shared" si="32"/>
        <v>4778.206226828318</v>
      </c>
      <c r="R41" s="13">
        <f t="shared" si="26"/>
        <v>4058.206226828318</v>
      </c>
      <c r="S41" s="17">
        <f t="shared" si="27"/>
        <v>95454.969215769408</v>
      </c>
      <c r="T41" s="17">
        <f t="shared" si="33"/>
        <v>888.39200788627204</v>
      </c>
      <c r="U41" s="17">
        <f t="shared" si="28"/>
        <v>1328.392007886272</v>
      </c>
      <c r="V41" s="17">
        <f t="shared" si="29"/>
        <v>765.60799211372796</v>
      </c>
    </row>
    <row r="42" spans="1:22" x14ac:dyDescent="0.2">
      <c r="A42">
        <v>13</v>
      </c>
      <c r="B42" s="13" cm="1">
        <f t="array" ref="B42">INDEX(Labor!$C$5:$C$36,$A42+1)</f>
        <v>537.61930749245744</v>
      </c>
      <c r="C42" s="13">
        <f t="shared" si="17"/>
        <v>537.61930749245744</v>
      </c>
      <c r="D42" s="13">
        <f t="shared" si="18"/>
        <v>0</v>
      </c>
      <c r="E42" s="17">
        <f t="shared" si="19"/>
        <v>18667.337065710326</v>
      </c>
      <c r="F42" s="18">
        <f t="shared" si="30"/>
        <v>34.722222222222221</v>
      </c>
      <c r="G42" s="17">
        <f t="shared" si="20"/>
        <v>5720</v>
      </c>
      <c r="H42" s="17">
        <f t="shared" si="21"/>
        <v>27222</v>
      </c>
      <c r="I42" s="17">
        <f t="shared" si="31"/>
        <v>1856.2267626316061</v>
      </c>
      <c r="J42" s="17">
        <f t="shared" si="22"/>
        <v>2296.2267626316061</v>
      </c>
      <c r="K42" s="17">
        <f t="shared" si="23"/>
        <v>-202.22676263160611</v>
      </c>
      <c r="L42" s="17">
        <f t="shared" si="24"/>
        <v>-17165.337065710326</v>
      </c>
      <c r="N42">
        <v>13</v>
      </c>
      <c r="O42" s="13">
        <f t="shared" si="25"/>
        <v>537.61930749245744</v>
      </c>
      <c r="P42" s="13">
        <f>Labor!$H$7+Labor!$H$9</f>
        <v>4294.0462500996509</v>
      </c>
      <c r="Q42" s="13">
        <f t="shared" si="32"/>
        <v>4831.6655575921086</v>
      </c>
      <c r="R42" s="13">
        <f t="shared" si="26"/>
        <v>4111.6655575921086</v>
      </c>
      <c r="S42" s="17">
        <f t="shared" si="27"/>
        <v>96383.082597085217</v>
      </c>
      <c r="T42" s="17">
        <f t="shared" si="33"/>
        <v>928.11338131580851</v>
      </c>
      <c r="U42" s="17">
        <f t="shared" si="28"/>
        <v>1368.1133813158085</v>
      </c>
      <c r="V42" s="17">
        <f t="shared" si="29"/>
        <v>725.88661868419149</v>
      </c>
    </row>
    <row r="43" spans="1:22" x14ac:dyDescent="0.2">
      <c r="A43">
        <v>14</v>
      </c>
      <c r="B43" s="13" cm="1">
        <f t="array" ref="B43">INDEX(Labor!$C$5:$C$36,$A43+1)</f>
        <v>593.44900480898184</v>
      </c>
      <c r="C43" s="13">
        <f t="shared" si="17"/>
        <v>593.44900480898184</v>
      </c>
      <c r="D43" s="13">
        <f t="shared" si="18"/>
        <v>0</v>
      </c>
      <c r="E43" s="17">
        <f t="shared" si="19"/>
        <v>20605.868222534093</v>
      </c>
      <c r="F43" s="18">
        <f t="shared" si="30"/>
        <v>34.722222222222221</v>
      </c>
      <c r="G43" s="17">
        <f t="shared" si="20"/>
        <v>6160</v>
      </c>
      <c r="H43" s="17">
        <f t="shared" si="21"/>
        <v>29316</v>
      </c>
      <c r="I43" s="17">
        <f t="shared" si="31"/>
        <v>1938.5311568237667</v>
      </c>
      <c r="J43" s="17">
        <f t="shared" si="22"/>
        <v>2378.5311568237667</v>
      </c>
      <c r="K43" s="17">
        <f t="shared" si="23"/>
        <v>-284.53115682376665</v>
      </c>
      <c r="L43" s="17">
        <f t="shared" si="24"/>
        <v>-17449.868222534093</v>
      </c>
      <c r="N43">
        <v>14</v>
      </c>
      <c r="O43" s="13">
        <f t="shared" si="25"/>
        <v>593.44900480898184</v>
      </c>
      <c r="P43" s="13">
        <f>Labor!$H$7+Labor!$H$9</f>
        <v>4294.0462500996509</v>
      </c>
      <c r="Q43" s="13">
        <f t="shared" si="32"/>
        <v>4887.4952549086329</v>
      </c>
      <c r="R43" s="13">
        <f t="shared" si="26"/>
        <v>4167.4952549086329</v>
      </c>
      <c r="S43" s="17">
        <f t="shared" si="27"/>
        <v>97352.3481754971</v>
      </c>
      <c r="T43" s="17">
        <f t="shared" si="33"/>
        <v>969.26557841188333</v>
      </c>
      <c r="U43" s="17">
        <f t="shared" si="28"/>
        <v>1409.2655784118833</v>
      </c>
      <c r="V43" s="17">
        <f t="shared" si="29"/>
        <v>684.73442158811667</v>
      </c>
    </row>
    <row r="44" spans="1:22" x14ac:dyDescent="0.2">
      <c r="A44">
        <v>15</v>
      </c>
      <c r="B44" s="13" cm="1">
        <f t="array" ref="B44">INDEX(Labor!$C$5:$C$36,$A44+1)</f>
        <v>651.73417492414967</v>
      </c>
      <c r="C44" s="13">
        <f t="shared" si="17"/>
        <v>651.73417492414967</v>
      </c>
      <c r="D44" s="13">
        <f t="shared" si="18"/>
        <v>0</v>
      </c>
      <c r="E44" s="17">
        <f t="shared" si="19"/>
        <v>22629.658851532975</v>
      </c>
      <c r="F44" s="18">
        <f t="shared" si="30"/>
        <v>34.722222222222221</v>
      </c>
      <c r="G44" s="17">
        <f t="shared" si="20"/>
        <v>6600</v>
      </c>
      <c r="H44" s="17">
        <f t="shared" si="21"/>
        <v>31410</v>
      </c>
      <c r="I44" s="17">
        <f t="shared" si="31"/>
        <v>2023.7906289988823</v>
      </c>
      <c r="J44" s="17">
        <f t="shared" si="22"/>
        <v>2463.7906289988823</v>
      </c>
      <c r="K44" s="17">
        <f t="shared" si="23"/>
        <v>-369.79062899888231</v>
      </c>
      <c r="L44" s="17">
        <f t="shared" si="24"/>
        <v>-17819.658851532975</v>
      </c>
      <c r="N44">
        <v>15</v>
      </c>
      <c r="O44" s="13">
        <f t="shared" si="25"/>
        <v>651.73417492414967</v>
      </c>
      <c r="P44" s="13">
        <f>Labor!$H$7+Labor!$H$9</f>
        <v>4294.0462500996509</v>
      </c>
      <c r="Q44" s="13">
        <f t="shared" si="32"/>
        <v>4945.7804250238005</v>
      </c>
      <c r="R44" s="13">
        <f t="shared" si="26"/>
        <v>4225.7804250238005</v>
      </c>
      <c r="S44" s="17">
        <f t="shared" si="27"/>
        <v>98364.24348999653</v>
      </c>
      <c r="T44" s="17">
        <f t="shared" si="33"/>
        <v>1011.8953144994302</v>
      </c>
      <c r="U44" s="17">
        <f t="shared" si="28"/>
        <v>1451.8953144994302</v>
      </c>
      <c r="V44" s="17">
        <f t="shared" si="29"/>
        <v>642.10468550056976</v>
      </c>
    </row>
    <row r="45" spans="1:22" x14ac:dyDescent="0.2">
      <c r="A45">
        <v>16</v>
      </c>
      <c r="B45" s="13" cm="1">
        <f t="array" ref="B45">INDEX(Labor!$C$5:$C$36,$A45+1)</f>
        <v>712.5626979170703</v>
      </c>
      <c r="C45" s="13">
        <f t="shared" si="17"/>
        <v>712.5626979170703</v>
      </c>
      <c r="D45" s="13">
        <f t="shared" si="18"/>
        <v>0</v>
      </c>
      <c r="E45" s="17">
        <f t="shared" si="19"/>
        <v>24741.760344342718</v>
      </c>
      <c r="F45" s="18">
        <f t="shared" si="30"/>
        <v>34.722222222222221</v>
      </c>
      <c r="G45" s="17">
        <f t="shared" si="20"/>
        <v>7040</v>
      </c>
      <c r="H45" s="17">
        <f t="shared" si="21"/>
        <v>33504</v>
      </c>
      <c r="I45" s="17">
        <f t="shared" si="31"/>
        <v>2112.1014928097429</v>
      </c>
      <c r="J45" s="17">
        <f t="shared" si="22"/>
        <v>2552.1014928097429</v>
      </c>
      <c r="K45" s="17">
        <f t="shared" si="23"/>
        <v>-458.10149280974292</v>
      </c>
      <c r="L45" s="17">
        <f t="shared" si="24"/>
        <v>-18277.760344342718</v>
      </c>
      <c r="N45">
        <v>16</v>
      </c>
      <c r="O45" s="13">
        <f t="shared" si="25"/>
        <v>712.5626979170703</v>
      </c>
      <c r="P45" s="13">
        <f>Labor!$H$7+Labor!$H$9</f>
        <v>4294.0462500996509</v>
      </c>
      <c r="Q45" s="13">
        <f t="shared" si="32"/>
        <v>5006.6089480167211</v>
      </c>
      <c r="R45" s="13">
        <f t="shared" si="26"/>
        <v>4286.6089480167211</v>
      </c>
      <c r="S45" s="17">
        <f t="shared" si="27"/>
        <v>99420.294236401402</v>
      </c>
      <c r="T45" s="17">
        <f t="shared" si="33"/>
        <v>1056.0507464048715</v>
      </c>
      <c r="U45" s="17">
        <f t="shared" si="28"/>
        <v>1496.0507464048715</v>
      </c>
      <c r="V45" s="17">
        <f t="shared" si="29"/>
        <v>597.94925359512854</v>
      </c>
    </row>
    <row r="46" spans="1:22" x14ac:dyDescent="0.2">
      <c r="A46">
        <v>17</v>
      </c>
      <c r="B46" s="13" cm="1">
        <f t="array" ref="B46">INDEX(Labor!$C$5:$C$36,$A46+1)</f>
        <v>776.02531320030937</v>
      </c>
      <c r="C46" s="13">
        <f t="shared" si="17"/>
        <v>720</v>
      </c>
      <c r="D46" s="13">
        <f t="shared" si="18"/>
        <v>56.02531320030937</v>
      </c>
      <c r="E46" s="17">
        <f t="shared" si="19"/>
        <v>25972.66168750537</v>
      </c>
      <c r="F46" s="18">
        <f t="shared" si="30"/>
        <v>33.46883309823329</v>
      </c>
      <c r="G46" s="17">
        <f t="shared" si="20"/>
        <v>7480</v>
      </c>
      <c r="H46" s="17">
        <f t="shared" si="21"/>
        <v>35598</v>
      </c>
      <c r="I46" s="17">
        <f t="shared" si="31"/>
        <v>1230.9013431626518</v>
      </c>
      <c r="J46" s="17">
        <f t="shared" si="22"/>
        <v>1670.9013431626518</v>
      </c>
      <c r="K46" s="17">
        <f t="shared" si="23"/>
        <v>423.09865683734824</v>
      </c>
      <c r="L46" s="17">
        <f t="shared" si="24"/>
        <v>-17854.66168750537</v>
      </c>
      <c r="N46">
        <v>17</v>
      </c>
      <c r="O46" s="13">
        <f t="shared" si="25"/>
        <v>776.02531320030937</v>
      </c>
      <c r="P46" s="13">
        <f>Labor!$H$7+Labor!$H$9</f>
        <v>4294.0462500996509</v>
      </c>
      <c r="Q46" s="13">
        <f t="shared" si="32"/>
        <v>5070.07156329996</v>
      </c>
      <c r="R46" s="13">
        <f t="shared" si="26"/>
        <v>4350.07156329996</v>
      </c>
      <c r="S46" s="17">
        <f t="shared" si="27"/>
        <v>100522.07575173542</v>
      </c>
      <c r="T46" s="17">
        <f t="shared" si="33"/>
        <v>1101.7815153340198</v>
      </c>
      <c r="U46" s="17">
        <f t="shared" si="28"/>
        <v>1541.7815153340198</v>
      </c>
      <c r="V46" s="17">
        <f t="shared" si="29"/>
        <v>552.21848466598021</v>
      </c>
    </row>
    <row r="47" spans="1:22" x14ac:dyDescent="0.2">
      <c r="A47">
        <v>18</v>
      </c>
      <c r="B47" s="13" cm="1">
        <f t="array" ref="B47">INDEX(Labor!$C$5:$C$36,$A47+1)</f>
        <v>842.2157075615122</v>
      </c>
      <c r="C47" s="13">
        <f t="shared" si="17"/>
        <v>720</v>
      </c>
      <c r="D47" s="13">
        <f t="shared" si="18"/>
        <v>122.2157075615122</v>
      </c>
      <c r="E47" s="17">
        <f t="shared" si="19"/>
        <v>27121.800478498477</v>
      </c>
      <c r="F47" s="18">
        <f t="shared" si="30"/>
        <v>32.202914568080061</v>
      </c>
      <c r="G47" s="17">
        <f t="shared" si="20"/>
        <v>7920</v>
      </c>
      <c r="H47" s="17">
        <f t="shared" si="21"/>
        <v>37692</v>
      </c>
      <c r="I47" s="17">
        <f t="shared" si="31"/>
        <v>1149.1387909931072</v>
      </c>
      <c r="J47" s="17">
        <f t="shared" si="22"/>
        <v>1589.1387909931072</v>
      </c>
      <c r="K47" s="17">
        <f t="shared" si="23"/>
        <v>504.86120900689275</v>
      </c>
      <c r="L47" s="17">
        <f t="shared" si="24"/>
        <v>-17349.800478498477</v>
      </c>
      <c r="N47">
        <v>18</v>
      </c>
      <c r="O47" s="13">
        <f t="shared" si="25"/>
        <v>842.2157075615122</v>
      </c>
      <c r="P47" s="13">
        <f>Labor!$H$7+Labor!$H$9</f>
        <v>4294.0462500996509</v>
      </c>
      <c r="Q47" s="13">
        <f t="shared" si="32"/>
        <v>5136.2619576611633</v>
      </c>
      <c r="R47" s="13">
        <f t="shared" si="26"/>
        <v>4416.2619576611633</v>
      </c>
      <c r="S47" s="17">
        <f t="shared" si="27"/>
        <v>101671.21454272853</v>
      </c>
      <c r="T47" s="17">
        <f t="shared" si="33"/>
        <v>1149.1387909931072</v>
      </c>
      <c r="U47" s="17">
        <f t="shared" si="28"/>
        <v>1589.1387909931072</v>
      </c>
      <c r="V47" s="17">
        <f t="shared" si="29"/>
        <v>504.86120900689275</v>
      </c>
    </row>
    <row r="48" spans="1:22" x14ac:dyDescent="0.2">
      <c r="A48">
        <v>19</v>
      </c>
      <c r="B48" s="13" cm="1">
        <f t="array" ref="B48">INDEX(Labor!$C$5:$C$36,$A48+1)</f>
        <v>911.23060582002495</v>
      </c>
      <c r="C48" s="13">
        <f t="shared" si="17"/>
        <v>720</v>
      </c>
      <c r="D48" s="13">
        <f t="shared" si="18"/>
        <v>191.23060582002495</v>
      </c>
      <c r="E48" s="17">
        <f t="shared" si="19"/>
        <v>28319.975795486545</v>
      </c>
      <c r="F48" s="18">
        <f t="shared" si="30"/>
        <v>31.078824190722976</v>
      </c>
      <c r="G48" s="17">
        <f t="shared" si="20"/>
        <v>8360</v>
      </c>
      <c r="H48" s="17">
        <f t="shared" si="21"/>
        <v>39786</v>
      </c>
      <c r="I48" s="17">
        <f t="shared" si="31"/>
        <v>1198.1753169880685</v>
      </c>
      <c r="J48" s="17">
        <f t="shared" si="22"/>
        <v>1638.1753169880685</v>
      </c>
      <c r="K48" s="17">
        <f t="shared" si="23"/>
        <v>455.82468301193148</v>
      </c>
      <c r="L48" s="17">
        <f t="shared" si="24"/>
        <v>-16893.975795486545</v>
      </c>
      <c r="N48">
        <v>19</v>
      </c>
      <c r="O48" s="13">
        <f t="shared" si="25"/>
        <v>911.23060582002495</v>
      </c>
      <c r="P48" s="13">
        <f>Labor!$H$7+Labor!$H$9</f>
        <v>4294.0462500996509</v>
      </c>
      <c r="Q48" s="13">
        <f t="shared" si="32"/>
        <v>5205.2768559196757</v>
      </c>
      <c r="R48" s="13">
        <f t="shared" si="26"/>
        <v>4485.2768559196757</v>
      </c>
      <c r="S48" s="17">
        <f t="shared" si="27"/>
        <v>102869.38985971658</v>
      </c>
      <c r="T48" s="17">
        <f t="shared" si="33"/>
        <v>1198.175316988054</v>
      </c>
      <c r="U48" s="17">
        <f t="shared" si="28"/>
        <v>1638.175316988054</v>
      </c>
      <c r="V48" s="17">
        <f t="shared" si="29"/>
        <v>455.82468301194604</v>
      </c>
    </row>
    <row r="49" spans="1:22" x14ac:dyDescent="0.2">
      <c r="A49">
        <v>20</v>
      </c>
      <c r="B49" s="13" cm="1">
        <f t="array" ref="B49">INDEX(Labor!$C$5:$C$36,$A49+1)</f>
        <v>983.16986417423732</v>
      </c>
      <c r="C49" s="13">
        <f t="shared" si="17"/>
        <v>720</v>
      </c>
      <c r="D49" s="13">
        <f t="shared" si="18"/>
        <v>263.16986417423732</v>
      </c>
      <c r="E49" s="17">
        <f t="shared" si="19"/>
        <v>29568.921253024953</v>
      </c>
      <c r="F49" s="18">
        <f t="shared" si="30"/>
        <v>30.075089087336742</v>
      </c>
      <c r="G49" s="17">
        <f t="shared" si="20"/>
        <v>8800</v>
      </c>
      <c r="H49" s="17">
        <f t="shared" si="21"/>
        <v>41880</v>
      </c>
      <c r="I49" s="17">
        <f t="shared" si="31"/>
        <v>1248.9454575384079</v>
      </c>
      <c r="J49" s="17">
        <f t="shared" si="22"/>
        <v>1688.9454575384079</v>
      </c>
      <c r="K49" s="17">
        <f t="shared" si="23"/>
        <v>405.05454246159206</v>
      </c>
      <c r="L49" s="17">
        <f t="shared" si="24"/>
        <v>-16488.921253024953</v>
      </c>
      <c r="N49">
        <v>20</v>
      </c>
      <c r="O49" s="13">
        <f t="shared" si="25"/>
        <v>983.16986417423732</v>
      </c>
      <c r="P49" s="13">
        <f>Labor!$H$7+Labor!$H$9</f>
        <v>4294.0462500996509</v>
      </c>
      <c r="Q49" s="13">
        <f t="shared" si="32"/>
        <v>5277.2161142738878</v>
      </c>
      <c r="R49" s="13">
        <f t="shared" si="26"/>
        <v>4557.2161142738878</v>
      </c>
      <c r="S49" s="17">
        <f t="shared" si="27"/>
        <v>104118.335317255</v>
      </c>
      <c r="T49" s="17">
        <f t="shared" si="33"/>
        <v>1248.9454575384152</v>
      </c>
      <c r="U49" s="17">
        <f t="shared" si="28"/>
        <v>1688.9454575384152</v>
      </c>
      <c r="V49" s="17">
        <f t="shared" si="29"/>
        <v>405.05454246158479</v>
      </c>
    </row>
    <row r="50" spans="1:22" x14ac:dyDescent="0.2">
      <c r="N50">
        <v>21</v>
      </c>
      <c r="O50" s="13">
        <f t="shared" si="25"/>
        <v>1058.1365663175229</v>
      </c>
      <c r="P50" s="13">
        <f>Labor!$H$7+Labor!$H$9</f>
        <v>4294.0462500996509</v>
      </c>
      <c r="Q50" s="13">
        <f t="shared" si="32"/>
        <v>5352.1828164171739</v>
      </c>
      <c r="R50" s="13">
        <f t="shared" si="26"/>
        <v>4632.1828164171739</v>
      </c>
      <c r="S50" s="17">
        <f t="shared" si="27"/>
        <v>105419.84056279816</v>
      </c>
      <c r="T50" s="17">
        <f t="shared" si="33"/>
        <v>1301.5052455431578</v>
      </c>
      <c r="U50" s="17">
        <f t="shared" si="28"/>
        <v>1741.5052455431578</v>
      </c>
      <c r="V50" s="17">
        <f t="shared" si="29"/>
        <v>352.4947544568422</v>
      </c>
    </row>
    <row r="51" spans="1:22" x14ac:dyDescent="0.2">
      <c r="A51" s="14" t="s">
        <v>85</v>
      </c>
      <c r="N51" s="21" t="s">
        <v>94</v>
      </c>
    </row>
    <row r="52" spans="1:22" ht="34" x14ac:dyDescent="0.2">
      <c r="A52" s="20" t="s">
        <v>49</v>
      </c>
      <c r="B52" s="20" t="s">
        <v>73</v>
      </c>
      <c r="C52" s="20" t="s">
        <v>74</v>
      </c>
      <c r="D52" s="20" t="s">
        <v>75</v>
      </c>
      <c r="E52" s="20" t="s">
        <v>76</v>
      </c>
      <c r="F52" s="20" t="s">
        <v>77</v>
      </c>
      <c r="G52" s="20" t="s">
        <v>78</v>
      </c>
      <c r="H52" s="20" t="s">
        <v>79</v>
      </c>
      <c r="I52" s="20" t="s">
        <v>80</v>
      </c>
      <c r="J52" s="20" t="s">
        <v>81</v>
      </c>
      <c r="K52" s="20" t="s">
        <v>82</v>
      </c>
      <c r="L52" s="20" t="s">
        <v>83</v>
      </c>
      <c r="N52" s="22" t="s">
        <v>49</v>
      </c>
      <c r="O52" s="22" t="s">
        <v>89</v>
      </c>
      <c r="P52" s="22" t="s">
        <v>90</v>
      </c>
      <c r="Q52" s="22" t="s">
        <v>91</v>
      </c>
      <c r="R52" s="22" t="s">
        <v>75</v>
      </c>
      <c r="S52" s="22" t="s">
        <v>92</v>
      </c>
      <c r="T52" s="22" t="s">
        <v>80</v>
      </c>
      <c r="U52" s="22" t="s">
        <v>81</v>
      </c>
      <c r="V52" s="22" t="s">
        <v>82</v>
      </c>
    </row>
    <row r="53" spans="1:22" x14ac:dyDescent="0.2">
      <c r="A53">
        <v>0</v>
      </c>
      <c r="B53" s="13" cm="1">
        <f t="array" ref="B53">INDEX(Labor!$D$5:$D$36,$A53+1)</f>
        <v>0</v>
      </c>
      <c r="C53" s="13">
        <f t="shared" ref="C53:C83" si="34">MIN($B53,FARMER_HOURS)</f>
        <v>0</v>
      </c>
      <c r="D53" s="13">
        <f t="shared" ref="D53:D83" si="35">MAX(0,$B53-FARMER_HOURS)</f>
        <v>0</v>
      </c>
      <c r="E53" s="17">
        <f t="shared" ref="E53:E83" si="36">$C53*FARMER_WAGE+IF(LABOR_MODE=1,$D53,ROUNDUP($D53/TEMP_HOURS_PER_WORKER,0)*TEMP_HOURS_PER_WORKER)*TEMP_WAGE</f>
        <v>0</v>
      </c>
      <c r="F53" s="18">
        <f>IF($B53=0,0,$E53/$B53)</f>
        <v>0</v>
      </c>
      <c r="G53" s="17">
        <f t="shared" ref="G53:G83" si="37">$A53*FERT_MESCLUN</f>
        <v>0</v>
      </c>
      <c r="H53" s="17">
        <f t="shared" ref="H53:H83" si="38">$A53*PRICE_MESCLUN</f>
        <v>0</v>
      </c>
      <c r="I53" s="17" t="str">
        <f>IF($A53=0,"",$E53-$E52)</f>
        <v/>
      </c>
      <c r="J53" s="17" t="str">
        <f t="shared" ref="J53:J83" si="39">IF($A53=0,"",$I53+FERT_MESCLUN)</f>
        <v/>
      </c>
      <c r="K53" s="17" t="str">
        <f t="shared" ref="K53:K83" si="40">IF($A53=0,"",PRICE_MESCLUN-$J53)</f>
        <v/>
      </c>
      <c r="L53" s="17">
        <f t="shared" ref="L53:L83" si="41">$H53-$E53-$G53-FIXED_COST</f>
        <v>-20000</v>
      </c>
      <c r="N53">
        <v>0</v>
      </c>
      <c r="O53" s="13">
        <f t="shared" ref="O53:O84" si="42">$N53*HRS_PER_BED_MESCLUN*WEEKS*(1+DIM_PCT_MESCLUN)^$N53</f>
        <v>0</v>
      </c>
      <c r="P53" s="13">
        <f>Labor!$H$7+Labor!$H$8</f>
        <v>3317.5380782642392</v>
      </c>
      <c r="Q53" s="13">
        <f>$O53+$P53</f>
        <v>3317.5380782642392</v>
      </c>
      <c r="R53" s="13">
        <f t="shared" ref="R53:R84" si="43">MAX(0,$Q53-FARMER_HOURS)</f>
        <v>2597.5380782642392</v>
      </c>
      <c r="S53" s="17">
        <f t="shared" ref="S53:S84" si="44">MIN($Q53,FARMER_HOURS)*FARMER_WAGE+IF(LABOR_MODE=1,$R53,ROUNDUP($R53/TEMP_HOURS_PER_WORKER,0)*TEMP_HOURS_PER_WORKER)*TEMP_WAGE</f>
        <v>70096.14719208749</v>
      </c>
      <c r="T53" s="17" t="str">
        <f>IF($N53=0,"",$S53-$S52)</f>
        <v/>
      </c>
      <c r="U53" s="17" t="str">
        <f t="shared" ref="U53:U84" si="45">IF($N53=0,"",$T53+FERT_MESCLUN)</f>
        <v/>
      </c>
      <c r="V53" s="17" t="str">
        <f t="shared" ref="V53:V84" si="46">IF($N53=0,"",PRICE_MESCLUN-$U53)</f>
        <v/>
      </c>
    </row>
    <row r="54" spans="1:22" x14ac:dyDescent="0.2">
      <c r="A54">
        <v>1</v>
      </c>
      <c r="B54" s="13" cm="1">
        <f t="array" ref="B54">INDEX(Labor!$D$5:$D$36,$A54+1)</f>
        <v>45.5625</v>
      </c>
      <c r="C54" s="13">
        <f t="shared" si="34"/>
        <v>45.5625</v>
      </c>
      <c r="D54" s="13">
        <f t="shared" si="35"/>
        <v>0</v>
      </c>
      <c r="E54" s="17">
        <f t="shared" si="36"/>
        <v>1582.03125</v>
      </c>
      <c r="F54" s="18">
        <f t="shared" ref="F54:F83" si="47">IF($B54=0,0,$E54/$B54)</f>
        <v>34.722222222222221</v>
      </c>
      <c r="G54" s="17">
        <f t="shared" si="37"/>
        <v>880</v>
      </c>
      <c r="H54" s="17">
        <f t="shared" si="38"/>
        <v>2700</v>
      </c>
      <c r="I54" s="17">
        <f t="shared" ref="I54:I83" si="48">IF($A54=0,"",$E54-$E53)</f>
        <v>1582.03125</v>
      </c>
      <c r="J54" s="17">
        <f t="shared" si="39"/>
        <v>2462.03125</v>
      </c>
      <c r="K54" s="17">
        <f t="shared" si="40"/>
        <v>237.96875</v>
      </c>
      <c r="L54" s="17">
        <f t="shared" si="41"/>
        <v>-19762.03125</v>
      </c>
      <c r="N54">
        <v>1</v>
      </c>
      <c r="O54" s="13">
        <f t="shared" si="42"/>
        <v>45.5625</v>
      </c>
      <c r="P54" s="13">
        <f>Labor!$H$7+Labor!$H$8</f>
        <v>3317.5380782642392</v>
      </c>
      <c r="Q54" s="13">
        <f t="shared" ref="Q54:Q84" si="49">$O54+$P54</f>
        <v>3363.1005782642392</v>
      </c>
      <c r="R54" s="13">
        <f t="shared" si="43"/>
        <v>2643.1005782642392</v>
      </c>
      <c r="S54" s="17">
        <f t="shared" si="44"/>
        <v>70887.16281708749</v>
      </c>
      <c r="T54" s="17">
        <f t="shared" ref="T54:T84" si="50">IF($N54=0,"",$S54-$S53)</f>
        <v>791.015625</v>
      </c>
      <c r="U54" s="17">
        <f t="shared" si="45"/>
        <v>1671.015625</v>
      </c>
      <c r="V54" s="17">
        <f t="shared" si="46"/>
        <v>1028.984375</v>
      </c>
    </row>
    <row r="55" spans="1:22" x14ac:dyDescent="0.2">
      <c r="A55">
        <v>2</v>
      </c>
      <c r="B55" s="13" cm="1">
        <f t="array" ref="B55">INDEX(Labor!$D$5:$D$36,$A55+1)</f>
        <v>92.264062499999994</v>
      </c>
      <c r="C55" s="13">
        <f t="shared" si="34"/>
        <v>92.264062499999994</v>
      </c>
      <c r="D55" s="13">
        <f t="shared" si="35"/>
        <v>0</v>
      </c>
      <c r="E55" s="17">
        <f t="shared" si="36"/>
        <v>3203.6132812499995</v>
      </c>
      <c r="F55" s="18">
        <f t="shared" si="47"/>
        <v>34.722222222222221</v>
      </c>
      <c r="G55" s="17">
        <f t="shared" si="37"/>
        <v>1760</v>
      </c>
      <c r="H55" s="17">
        <f t="shared" si="38"/>
        <v>5400</v>
      </c>
      <c r="I55" s="17">
        <f t="shared" si="48"/>
        <v>1621.5820312499995</v>
      </c>
      <c r="J55" s="17">
        <f t="shared" si="39"/>
        <v>2501.5820312499995</v>
      </c>
      <c r="K55" s="17">
        <f t="shared" si="40"/>
        <v>198.41796875000045</v>
      </c>
      <c r="L55" s="17">
        <f t="shared" si="41"/>
        <v>-19563.61328125</v>
      </c>
      <c r="N55">
        <v>2</v>
      </c>
      <c r="O55" s="13">
        <f t="shared" si="42"/>
        <v>92.264062499999994</v>
      </c>
      <c r="P55" s="13">
        <f>Labor!$H$7+Labor!$H$8</f>
        <v>3317.5380782642392</v>
      </c>
      <c r="Q55" s="13">
        <f t="shared" si="49"/>
        <v>3409.8021407642391</v>
      </c>
      <c r="R55" s="13">
        <f t="shared" si="43"/>
        <v>2689.8021407642391</v>
      </c>
      <c r="S55" s="17">
        <f t="shared" si="44"/>
        <v>71697.95383271249</v>
      </c>
      <c r="T55" s="17">
        <f t="shared" si="50"/>
        <v>810.791015625</v>
      </c>
      <c r="U55" s="17">
        <f t="shared" si="45"/>
        <v>1690.791015625</v>
      </c>
      <c r="V55" s="17">
        <f t="shared" si="46"/>
        <v>1009.208984375</v>
      </c>
    </row>
    <row r="56" spans="1:22" x14ac:dyDescent="0.2">
      <c r="A56">
        <v>3</v>
      </c>
      <c r="B56" s="13" cm="1">
        <f t="array" ref="B56">INDEX(Labor!$D$5:$D$36,$A56+1)</f>
        <v>140.12604492187498</v>
      </c>
      <c r="C56" s="13">
        <f t="shared" si="34"/>
        <v>140.12604492187498</v>
      </c>
      <c r="D56" s="13">
        <f t="shared" si="35"/>
        <v>0</v>
      </c>
      <c r="E56" s="17">
        <f t="shared" si="36"/>
        <v>4865.4876708984366</v>
      </c>
      <c r="F56" s="18">
        <f t="shared" si="47"/>
        <v>34.722222222222221</v>
      </c>
      <c r="G56" s="17">
        <f t="shared" si="37"/>
        <v>2640</v>
      </c>
      <c r="H56" s="17">
        <f t="shared" si="38"/>
        <v>8100</v>
      </c>
      <c r="I56" s="17">
        <f t="shared" si="48"/>
        <v>1661.874389648437</v>
      </c>
      <c r="J56" s="17">
        <f t="shared" si="39"/>
        <v>2541.874389648437</v>
      </c>
      <c r="K56" s="17">
        <f t="shared" si="40"/>
        <v>158.12561035156295</v>
      </c>
      <c r="L56" s="17">
        <f t="shared" si="41"/>
        <v>-19405.487670898438</v>
      </c>
      <c r="N56">
        <v>3</v>
      </c>
      <c r="O56" s="13">
        <f t="shared" si="42"/>
        <v>140.12604492187498</v>
      </c>
      <c r="P56" s="13">
        <f>Labor!$H$7+Labor!$H$8</f>
        <v>3317.5380782642392</v>
      </c>
      <c r="Q56" s="13">
        <f t="shared" si="49"/>
        <v>3457.664123186114</v>
      </c>
      <c r="R56" s="13">
        <f t="shared" si="43"/>
        <v>2737.664123186114</v>
      </c>
      <c r="S56" s="17">
        <f t="shared" si="44"/>
        <v>72528.891027536709</v>
      </c>
      <c r="T56" s="17">
        <f t="shared" si="50"/>
        <v>830.93719482421875</v>
      </c>
      <c r="U56" s="17">
        <f t="shared" si="45"/>
        <v>1710.9371948242188</v>
      </c>
      <c r="V56" s="17">
        <f t="shared" si="46"/>
        <v>989.06280517578125</v>
      </c>
    </row>
    <row r="57" spans="1:22" x14ac:dyDescent="0.2">
      <c r="A57">
        <v>4</v>
      </c>
      <c r="B57" s="13" cm="1">
        <f t="array" ref="B57">INDEX(Labor!$D$5:$D$36,$A57+1)</f>
        <v>189.17016064453125</v>
      </c>
      <c r="C57" s="13">
        <f t="shared" si="34"/>
        <v>189.17016064453125</v>
      </c>
      <c r="D57" s="13">
        <f t="shared" si="35"/>
        <v>0</v>
      </c>
      <c r="E57" s="17">
        <f t="shared" si="36"/>
        <v>6568.4083557128906</v>
      </c>
      <c r="F57" s="18">
        <f t="shared" si="47"/>
        <v>34.722222222222221</v>
      </c>
      <c r="G57" s="17">
        <f t="shared" si="37"/>
        <v>3520</v>
      </c>
      <c r="H57" s="17">
        <f t="shared" si="38"/>
        <v>10800</v>
      </c>
      <c r="I57" s="17">
        <f t="shared" si="48"/>
        <v>1702.920684814454</v>
      </c>
      <c r="J57" s="17">
        <f t="shared" si="39"/>
        <v>2582.920684814454</v>
      </c>
      <c r="K57" s="17">
        <f t="shared" si="40"/>
        <v>117.07931518554597</v>
      </c>
      <c r="L57" s="17">
        <f t="shared" si="41"/>
        <v>-19288.408355712891</v>
      </c>
      <c r="N57">
        <v>4</v>
      </c>
      <c r="O57" s="13">
        <f t="shared" si="42"/>
        <v>189.17016064453125</v>
      </c>
      <c r="P57" s="13">
        <f>Labor!$H$7+Labor!$H$8</f>
        <v>3317.5380782642392</v>
      </c>
      <c r="Q57" s="13">
        <f t="shared" si="49"/>
        <v>3506.7082389087705</v>
      </c>
      <c r="R57" s="13">
        <f t="shared" si="43"/>
        <v>2786.7082389087705</v>
      </c>
      <c r="S57" s="17">
        <f t="shared" si="44"/>
        <v>73380.351369943935</v>
      </c>
      <c r="T57" s="17">
        <f t="shared" si="50"/>
        <v>851.46034240722656</v>
      </c>
      <c r="U57" s="17">
        <f t="shared" si="45"/>
        <v>1731.4603424072266</v>
      </c>
      <c r="V57" s="17">
        <f t="shared" si="46"/>
        <v>968.53965759277344</v>
      </c>
    </row>
    <row r="58" spans="1:22" x14ac:dyDescent="0.2">
      <c r="A58">
        <v>5</v>
      </c>
      <c r="B58" s="13" cm="1">
        <f t="array" ref="B58">INDEX(Labor!$D$5:$D$36,$A58+1)</f>
        <v>239.41848456573481</v>
      </c>
      <c r="C58" s="13">
        <f t="shared" si="34"/>
        <v>239.41848456573481</v>
      </c>
      <c r="D58" s="13">
        <f t="shared" si="35"/>
        <v>0</v>
      </c>
      <c r="E58" s="17">
        <f t="shared" si="36"/>
        <v>8313.1418251991254</v>
      </c>
      <c r="F58" s="18">
        <f t="shared" si="47"/>
        <v>34.722222222222221</v>
      </c>
      <c r="G58" s="17">
        <f t="shared" si="37"/>
        <v>4400</v>
      </c>
      <c r="H58" s="17">
        <f t="shared" si="38"/>
        <v>13500</v>
      </c>
      <c r="I58" s="17">
        <f t="shared" si="48"/>
        <v>1744.7334694862348</v>
      </c>
      <c r="J58" s="17">
        <f t="shared" si="39"/>
        <v>2624.7334694862348</v>
      </c>
      <c r="K58" s="17">
        <f t="shared" si="40"/>
        <v>75.266530513765247</v>
      </c>
      <c r="L58" s="17">
        <f t="shared" si="41"/>
        <v>-19213.141825199127</v>
      </c>
      <c r="N58">
        <v>5</v>
      </c>
      <c r="O58" s="13">
        <f t="shared" si="42"/>
        <v>239.41848456573481</v>
      </c>
      <c r="P58" s="13">
        <f>Labor!$H$7+Labor!$H$8</f>
        <v>3317.5380782642392</v>
      </c>
      <c r="Q58" s="13">
        <f t="shared" si="49"/>
        <v>3556.9565628299738</v>
      </c>
      <c r="R58" s="13">
        <f t="shared" si="43"/>
        <v>2836.9565628299738</v>
      </c>
      <c r="S58" s="17">
        <f t="shared" si="44"/>
        <v>74252.718104687054</v>
      </c>
      <c r="T58" s="17">
        <f t="shared" si="50"/>
        <v>872.36673474311829</v>
      </c>
      <c r="U58" s="17">
        <f t="shared" si="45"/>
        <v>1752.3667347431183</v>
      </c>
      <c r="V58" s="17">
        <f t="shared" si="46"/>
        <v>947.63326525688171</v>
      </c>
    </row>
    <row r="59" spans="1:22" x14ac:dyDescent="0.2">
      <c r="A59">
        <v>6</v>
      </c>
      <c r="B59" s="13" cm="1">
        <f t="array" ref="B59">INDEX(Labor!$D$5:$D$36,$A59+1)</f>
        <v>290.89345874736784</v>
      </c>
      <c r="C59" s="13">
        <f t="shared" si="34"/>
        <v>290.89345874736784</v>
      </c>
      <c r="D59" s="13">
        <f t="shared" si="35"/>
        <v>0</v>
      </c>
      <c r="E59" s="17">
        <f t="shared" si="36"/>
        <v>10100.467317616938</v>
      </c>
      <c r="F59" s="18">
        <f t="shared" si="47"/>
        <v>34.722222222222221</v>
      </c>
      <c r="G59" s="17">
        <f t="shared" si="37"/>
        <v>5280</v>
      </c>
      <c r="H59" s="17">
        <f t="shared" si="38"/>
        <v>16200</v>
      </c>
      <c r="I59" s="17">
        <f t="shared" si="48"/>
        <v>1787.3254924178127</v>
      </c>
      <c r="J59" s="17">
        <f t="shared" si="39"/>
        <v>2667.3254924178127</v>
      </c>
      <c r="K59" s="17">
        <f t="shared" si="40"/>
        <v>32.674507582187289</v>
      </c>
      <c r="L59" s="17">
        <f t="shared" si="41"/>
        <v>-19180.467317616938</v>
      </c>
      <c r="N59">
        <v>6</v>
      </c>
      <c r="O59" s="13">
        <f t="shared" si="42"/>
        <v>290.89345874736784</v>
      </c>
      <c r="P59" s="13">
        <f>Labor!$H$7+Labor!$H$8</f>
        <v>3317.5380782642392</v>
      </c>
      <c r="Q59" s="13">
        <f t="shared" si="49"/>
        <v>3608.4315370116069</v>
      </c>
      <c r="R59" s="13">
        <f t="shared" si="43"/>
        <v>2888.4315370116069</v>
      </c>
      <c r="S59" s="17">
        <f t="shared" si="44"/>
        <v>75146.380850895948</v>
      </c>
      <c r="T59" s="17">
        <f t="shared" si="50"/>
        <v>893.66274620889453</v>
      </c>
      <c r="U59" s="17">
        <f t="shared" si="45"/>
        <v>1773.6627462088945</v>
      </c>
      <c r="V59" s="17">
        <f t="shared" si="46"/>
        <v>926.33725379110547</v>
      </c>
    </row>
    <row r="60" spans="1:22" x14ac:dyDescent="0.2">
      <c r="A60">
        <v>7</v>
      </c>
      <c r="B60" s="13" cm="1">
        <f t="array" ref="B60">INDEX(Labor!$D$5:$D$36,$A60+1)</f>
        <v>343.61789814532818</v>
      </c>
      <c r="C60" s="13">
        <f t="shared" si="34"/>
        <v>343.61789814532818</v>
      </c>
      <c r="D60" s="13">
        <f t="shared" si="35"/>
        <v>0</v>
      </c>
      <c r="E60" s="17">
        <f t="shared" si="36"/>
        <v>11931.177018935006</v>
      </c>
      <c r="F60" s="18">
        <f t="shared" si="47"/>
        <v>34.722222222222221</v>
      </c>
      <c r="G60" s="17">
        <f t="shared" si="37"/>
        <v>6160</v>
      </c>
      <c r="H60" s="17">
        <f t="shared" si="38"/>
        <v>18900</v>
      </c>
      <c r="I60" s="17">
        <f t="shared" si="48"/>
        <v>1830.7097013180683</v>
      </c>
      <c r="J60" s="17">
        <f t="shared" si="39"/>
        <v>2710.7097013180683</v>
      </c>
      <c r="K60" s="17">
        <f t="shared" si="40"/>
        <v>-10.709701318068255</v>
      </c>
      <c r="L60" s="17">
        <f t="shared" si="41"/>
        <v>-19191.177018935006</v>
      </c>
      <c r="N60">
        <v>7</v>
      </c>
      <c r="O60" s="13">
        <f t="shared" si="42"/>
        <v>343.61789814532818</v>
      </c>
      <c r="P60" s="13">
        <f>Labor!$H$7+Labor!$H$8</f>
        <v>3317.5380782642392</v>
      </c>
      <c r="Q60" s="13">
        <f t="shared" si="49"/>
        <v>3661.1559764095673</v>
      </c>
      <c r="R60" s="13">
        <f t="shared" si="43"/>
        <v>2941.1559764095673</v>
      </c>
      <c r="S60" s="17">
        <f t="shared" si="44"/>
        <v>76061.735701554979</v>
      </c>
      <c r="T60" s="17">
        <f t="shared" si="50"/>
        <v>915.35485065903049</v>
      </c>
      <c r="U60" s="17">
        <f t="shared" si="45"/>
        <v>1795.3548506590305</v>
      </c>
      <c r="V60" s="17">
        <f t="shared" si="46"/>
        <v>904.64514934096951</v>
      </c>
    </row>
    <row r="61" spans="1:22" x14ac:dyDescent="0.2">
      <c r="A61">
        <v>8</v>
      </c>
      <c r="B61" s="13" cm="1">
        <f t="array" ref="B61">INDEX(Labor!$D$5:$D$36,$A61+1)</f>
        <v>397.61499642530839</v>
      </c>
      <c r="C61" s="13">
        <f t="shared" si="34"/>
        <v>397.61499642530839</v>
      </c>
      <c r="D61" s="13">
        <f t="shared" si="35"/>
        <v>0</v>
      </c>
      <c r="E61" s="17">
        <f t="shared" si="36"/>
        <v>13806.076264767653</v>
      </c>
      <c r="F61" s="18">
        <f t="shared" si="47"/>
        <v>34.722222222222221</v>
      </c>
      <c r="G61" s="17">
        <f t="shared" si="37"/>
        <v>7040</v>
      </c>
      <c r="H61" s="17">
        <f t="shared" si="38"/>
        <v>21600</v>
      </c>
      <c r="I61" s="17">
        <f t="shared" si="48"/>
        <v>1874.8992458326466</v>
      </c>
      <c r="J61" s="17">
        <f t="shared" si="39"/>
        <v>2754.8992458326466</v>
      </c>
      <c r="K61" s="17">
        <f t="shared" si="40"/>
        <v>-54.899245832646557</v>
      </c>
      <c r="L61" s="17">
        <f t="shared" si="41"/>
        <v>-19246.076264767653</v>
      </c>
      <c r="N61">
        <v>8</v>
      </c>
      <c r="O61" s="13">
        <f t="shared" si="42"/>
        <v>397.61499642530839</v>
      </c>
      <c r="P61" s="13">
        <f>Labor!$H$7+Labor!$H$8</f>
        <v>3317.5380782642392</v>
      </c>
      <c r="Q61" s="13">
        <f t="shared" si="49"/>
        <v>3715.1530746895478</v>
      </c>
      <c r="R61" s="13">
        <f t="shared" si="43"/>
        <v>2995.1530746895478</v>
      </c>
      <c r="S61" s="17">
        <f t="shared" si="44"/>
        <v>76999.185324471313</v>
      </c>
      <c r="T61" s="17">
        <f t="shared" si="50"/>
        <v>937.44962291633419</v>
      </c>
      <c r="U61" s="17">
        <f t="shared" si="45"/>
        <v>1817.4496229163342</v>
      </c>
      <c r="V61" s="17">
        <f t="shared" si="46"/>
        <v>882.55037708366581</v>
      </c>
    </row>
    <row r="62" spans="1:22" x14ac:dyDescent="0.2">
      <c r="A62">
        <v>9</v>
      </c>
      <c r="B62" s="13" cm="1">
        <f t="array" ref="B62">INDEX(Labor!$D$5:$D$36,$A62+1)</f>
        <v>452.90833186570285</v>
      </c>
      <c r="C62" s="13">
        <f t="shared" si="34"/>
        <v>452.90833186570285</v>
      </c>
      <c r="D62" s="13">
        <f t="shared" si="35"/>
        <v>0</v>
      </c>
      <c r="E62" s="17">
        <f t="shared" si="36"/>
        <v>15725.983745336904</v>
      </c>
      <c r="F62" s="18">
        <f t="shared" si="47"/>
        <v>34.722222222222221</v>
      </c>
      <c r="G62" s="17">
        <f t="shared" si="37"/>
        <v>7920</v>
      </c>
      <c r="H62" s="17">
        <f t="shared" si="38"/>
        <v>24300</v>
      </c>
      <c r="I62" s="17">
        <f t="shared" si="48"/>
        <v>1919.9074805692508</v>
      </c>
      <c r="J62" s="17">
        <f t="shared" si="39"/>
        <v>2799.9074805692508</v>
      </c>
      <c r="K62" s="17">
        <f t="shared" si="40"/>
        <v>-99.907480569250765</v>
      </c>
      <c r="L62" s="17">
        <f t="shared" si="41"/>
        <v>-19345.983745336904</v>
      </c>
      <c r="N62">
        <v>9</v>
      </c>
      <c r="O62" s="13">
        <f t="shared" si="42"/>
        <v>452.90833186570285</v>
      </c>
      <c r="P62" s="13">
        <f>Labor!$H$7+Labor!$H$8</f>
        <v>3317.5380782642392</v>
      </c>
      <c r="Q62" s="13">
        <f t="shared" si="49"/>
        <v>3770.4464101299418</v>
      </c>
      <c r="R62" s="13">
        <f t="shared" si="43"/>
        <v>3050.4464101299418</v>
      </c>
      <c r="S62" s="17">
        <f t="shared" si="44"/>
        <v>77959.139064755931</v>
      </c>
      <c r="T62" s="17">
        <f t="shared" si="50"/>
        <v>959.95374028461811</v>
      </c>
      <c r="U62" s="17">
        <f t="shared" si="45"/>
        <v>1839.9537402846181</v>
      </c>
      <c r="V62" s="17">
        <f t="shared" si="46"/>
        <v>860.04625971538189</v>
      </c>
    </row>
    <row r="63" spans="1:22" x14ac:dyDescent="0.2">
      <c r="A63">
        <v>10</v>
      </c>
      <c r="B63" s="13" cm="1">
        <f t="array" ref="B63">INDEX(Labor!$D$5:$D$36,$A63+1)</f>
        <v>509.52187334891573</v>
      </c>
      <c r="C63" s="13">
        <f t="shared" si="34"/>
        <v>509.52187334891573</v>
      </c>
      <c r="D63" s="13">
        <f t="shared" si="35"/>
        <v>0</v>
      </c>
      <c r="E63" s="17">
        <f t="shared" si="36"/>
        <v>17691.731713504018</v>
      </c>
      <c r="F63" s="18">
        <f t="shared" si="47"/>
        <v>34.722222222222221</v>
      </c>
      <c r="G63" s="17">
        <f t="shared" si="37"/>
        <v>8800</v>
      </c>
      <c r="H63" s="17">
        <f t="shared" si="38"/>
        <v>27000</v>
      </c>
      <c r="I63" s="17">
        <f t="shared" si="48"/>
        <v>1965.7479681671139</v>
      </c>
      <c r="J63" s="17">
        <f t="shared" si="39"/>
        <v>2845.7479681671139</v>
      </c>
      <c r="K63" s="17">
        <f t="shared" si="40"/>
        <v>-145.74796816711387</v>
      </c>
      <c r="L63" s="17">
        <f t="shared" si="41"/>
        <v>-19491.731713504018</v>
      </c>
      <c r="N63">
        <v>10</v>
      </c>
      <c r="O63" s="13">
        <f t="shared" si="42"/>
        <v>509.52187334891573</v>
      </c>
      <c r="P63" s="13">
        <f>Labor!$H$7+Labor!$H$8</f>
        <v>3317.5380782642392</v>
      </c>
      <c r="Q63" s="13">
        <f t="shared" si="49"/>
        <v>3827.0599516131551</v>
      </c>
      <c r="R63" s="13">
        <f t="shared" si="43"/>
        <v>3107.0599516131551</v>
      </c>
      <c r="S63" s="17">
        <f t="shared" si="44"/>
        <v>78942.013048839493</v>
      </c>
      <c r="T63" s="17">
        <f t="shared" si="50"/>
        <v>982.87398408356239</v>
      </c>
      <c r="U63" s="17">
        <f t="shared" si="45"/>
        <v>1862.8739840835624</v>
      </c>
      <c r="V63" s="17">
        <f t="shared" si="46"/>
        <v>837.12601591643761</v>
      </c>
    </row>
    <row r="64" spans="1:22" x14ac:dyDescent="0.2">
      <c r="A64">
        <v>11</v>
      </c>
      <c r="B64" s="13" cm="1">
        <f t="array" ref="B64">INDEX(Labor!$D$5:$D$36,$A64+1)</f>
        <v>567.47998644235474</v>
      </c>
      <c r="C64" s="13">
        <f t="shared" si="34"/>
        <v>567.47998644235474</v>
      </c>
      <c r="D64" s="13">
        <f t="shared" si="35"/>
        <v>0</v>
      </c>
      <c r="E64" s="17">
        <f t="shared" si="36"/>
        <v>19704.166195915095</v>
      </c>
      <c r="F64" s="18">
        <f t="shared" si="47"/>
        <v>34.722222222222221</v>
      </c>
      <c r="G64" s="17">
        <f t="shared" si="37"/>
        <v>9680</v>
      </c>
      <c r="H64" s="17">
        <f t="shared" si="38"/>
        <v>29700</v>
      </c>
      <c r="I64" s="17">
        <f t="shared" si="48"/>
        <v>2012.4344824110776</v>
      </c>
      <c r="J64" s="17">
        <f t="shared" si="39"/>
        <v>2892.4344824110776</v>
      </c>
      <c r="K64" s="17">
        <f t="shared" si="40"/>
        <v>-192.43448241107762</v>
      </c>
      <c r="L64" s="17">
        <f t="shared" si="41"/>
        <v>-19684.166195915095</v>
      </c>
      <c r="N64">
        <v>11</v>
      </c>
      <c r="O64" s="13">
        <f t="shared" si="42"/>
        <v>567.47998644235474</v>
      </c>
      <c r="P64" s="13">
        <f>Labor!$H$7+Labor!$H$8</f>
        <v>3317.5380782642392</v>
      </c>
      <c r="Q64" s="13">
        <f t="shared" si="49"/>
        <v>3885.018064706594</v>
      </c>
      <c r="R64" s="13">
        <f t="shared" si="43"/>
        <v>3165.018064706594</v>
      </c>
      <c r="S64" s="17">
        <f t="shared" si="44"/>
        <v>79948.23029004503</v>
      </c>
      <c r="T64" s="17">
        <f t="shared" si="50"/>
        <v>1006.217241205537</v>
      </c>
      <c r="U64" s="17">
        <f t="shared" si="45"/>
        <v>1886.217241205537</v>
      </c>
      <c r="V64" s="17">
        <f t="shared" si="46"/>
        <v>813.78275879446301</v>
      </c>
    </row>
    <row r="65" spans="1:22" x14ac:dyDescent="0.2">
      <c r="A65">
        <v>12</v>
      </c>
      <c r="B65" s="13" cm="1">
        <f t="array" ref="B65">INDEX(Labor!$D$5:$D$36,$A65+1)</f>
        <v>626.80743957041921</v>
      </c>
      <c r="C65" s="13">
        <f t="shared" si="34"/>
        <v>626.80743957041921</v>
      </c>
      <c r="D65" s="13">
        <f t="shared" si="35"/>
        <v>0</v>
      </c>
      <c r="E65" s="17">
        <f t="shared" si="36"/>
        <v>21764.147207306221</v>
      </c>
      <c r="F65" s="18">
        <f t="shared" si="47"/>
        <v>34.722222222222221</v>
      </c>
      <c r="G65" s="17">
        <f t="shared" si="37"/>
        <v>10560</v>
      </c>
      <c r="H65" s="17">
        <f t="shared" si="38"/>
        <v>32400</v>
      </c>
      <c r="I65" s="17">
        <f t="shared" si="48"/>
        <v>2059.9810113911262</v>
      </c>
      <c r="J65" s="17">
        <f t="shared" si="39"/>
        <v>2939.9810113911262</v>
      </c>
      <c r="K65" s="17">
        <f t="shared" si="40"/>
        <v>-239.98101139112623</v>
      </c>
      <c r="L65" s="17">
        <f t="shared" si="41"/>
        <v>-19924.147207306221</v>
      </c>
      <c r="N65">
        <v>12</v>
      </c>
      <c r="O65" s="13">
        <f t="shared" si="42"/>
        <v>626.80743957041921</v>
      </c>
      <c r="P65" s="13">
        <f>Labor!$H$7+Labor!$H$8</f>
        <v>3317.5380782642392</v>
      </c>
      <c r="Q65" s="13">
        <f t="shared" si="49"/>
        <v>3944.3455178346585</v>
      </c>
      <c r="R65" s="13">
        <f t="shared" si="43"/>
        <v>3224.3455178346585</v>
      </c>
      <c r="S65" s="17">
        <f t="shared" si="44"/>
        <v>80978.220795740606</v>
      </c>
      <c r="T65" s="17">
        <f t="shared" si="50"/>
        <v>1029.9905056955758</v>
      </c>
      <c r="U65" s="17">
        <f t="shared" si="45"/>
        <v>1909.9905056955758</v>
      </c>
      <c r="V65" s="17">
        <f t="shared" si="46"/>
        <v>790.00949430442415</v>
      </c>
    </row>
    <row r="66" spans="1:22" x14ac:dyDescent="0.2">
      <c r="A66">
        <v>13</v>
      </c>
      <c r="B66" s="13" cm="1">
        <f t="array" ref="B66">INDEX(Labor!$D$5:$D$36,$A66+1)</f>
        <v>687.52941027880343</v>
      </c>
      <c r="C66" s="13">
        <f t="shared" si="34"/>
        <v>687.52941027880343</v>
      </c>
      <c r="D66" s="13">
        <f t="shared" si="35"/>
        <v>0</v>
      </c>
      <c r="E66" s="17">
        <f t="shared" si="36"/>
        <v>23872.548968014009</v>
      </c>
      <c r="F66" s="18">
        <f t="shared" si="47"/>
        <v>34.722222222222221</v>
      </c>
      <c r="G66" s="17">
        <f t="shared" si="37"/>
        <v>11440</v>
      </c>
      <c r="H66" s="17">
        <f t="shared" si="38"/>
        <v>35100</v>
      </c>
      <c r="I66" s="17">
        <f t="shared" si="48"/>
        <v>2108.4017607077876</v>
      </c>
      <c r="J66" s="17">
        <f t="shared" si="39"/>
        <v>2988.4017607077876</v>
      </c>
      <c r="K66" s="17">
        <f t="shared" si="40"/>
        <v>-288.40176070778762</v>
      </c>
      <c r="L66" s="17">
        <f t="shared" si="41"/>
        <v>-20212.548968014009</v>
      </c>
      <c r="N66">
        <v>13</v>
      </c>
      <c r="O66" s="13">
        <f t="shared" si="42"/>
        <v>687.52941027880343</v>
      </c>
      <c r="P66" s="13">
        <f>Labor!$H$7+Labor!$H$8</f>
        <v>3317.5380782642392</v>
      </c>
      <c r="Q66" s="13">
        <f t="shared" si="49"/>
        <v>4005.0674885430426</v>
      </c>
      <c r="R66" s="13">
        <f t="shared" si="43"/>
        <v>3285.0674885430426</v>
      </c>
      <c r="S66" s="17">
        <f t="shared" si="44"/>
        <v>82032.421676094498</v>
      </c>
      <c r="T66" s="17">
        <f t="shared" si="50"/>
        <v>1054.200880353892</v>
      </c>
      <c r="U66" s="17">
        <f t="shared" si="45"/>
        <v>1934.200880353892</v>
      </c>
      <c r="V66" s="17">
        <f t="shared" si="46"/>
        <v>765.79911964610801</v>
      </c>
    </row>
    <row r="67" spans="1:22" x14ac:dyDescent="0.2">
      <c r="A67">
        <v>14</v>
      </c>
      <c r="B67" s="13" cm="1">
        <f t="array" ref="B67">INDEX(Labor!$D$5:$D$36,$A67+1)</f>
        <v>749.67149159246469</v>
      </c>
      <c r="C67" s="13">
        <f t="shared" si="34"/>
        <v>720</v>
      </c>
      <c r="D67" s="13">
        <f t="shared" si="35"/>
        <v>29.67149159246469</v>
      </c>
      <c r="E67" s="17">
        <f t="shared" si="36"/>
        <v>25515.130062369179</v>
      </c>
      <c r="F67" s="18">
        <f t="shared" si="47"/>
        <v>34.035081163576749</v>
      </c>
      <c r="G67" s="17">
        <f t="shared" si="37"/>
        <v>12320</v>
      </c>
      <c r="H67" s="17">
        <f t="shared" si="38"/>
        <v>37800</v>
      </c>
      <c r="I67" s="17">
        <f t="shared" si="48"/>
        <v>1642.5810943551696</v>
      </c>
      <c r="J67" s="17">
        <f t="shared" si="39"/>
        <v>2522.5810943551696</v>
      </c>
      <c r="K67" s="17">
        <f t="shared" si="40"/>
        <v>177.41890564483037</v>
      </c>
      <c r="L67" s="17">
        <f t="shared" si="41"/>
        <v>-20035.130062369179</v>
      </c>
      <c r="N67">
        <v>14</v>
      </c>
      <c r="O67" s="13">
        <f t="shared" si="42"/>
        <v>749.67149159246469</v>
      </c>
      <c r="P67" s="13">
        <f>Labor!$H$7+Labor!$H$8</f>
        <v>3317.5380782642392</v>
      </c>
      <c r="Q67" s="13">
        <f t="shared" si="49"/>
        <v>4067.2095698567036</v>
      </c>
      <c r="R67" s="13">
        <f t="shared" si="43"/>
        <v>3347.2095698567036</v>
      </c>
      <c r="S67" s="17">
        <f t="shared" si="44"/>
        <v>83111.277254456654</v>
      </c>
      <c r="T67" s="17">
        <f t="shared" si="50"/>
        <v>1078.8555783621559</v>
      </c>
      <c r="U67" s="17">
        <f t="shared" si="45"/>
        <v>1958.8555783621559</v>
      </c>
      <c r="V67" s="17">
        <f t="shared" si="46"/>
        <v>741.14442163784406</v>
      </c>
    </row>
    <row r="68" spans="1:22" x14ac:dyDescent="0.2">
      <c r="A68">
        <v>15</v>
      </c>
      <c r="B68" s="13" cm="1">
        <f t="array" ref="B68">INDEX(Labor!$D$5:$D$36,$A68+1)</f>
        <v>813.25969846861108</v>
      </c>
      <c r="C68" s="13">
        <f t="shared" si="34"/>
        <v>720</v>
      </c>
      <c r="D68" s="13">
        <f t="shared" si="35"/>
        <v>93.259698468611077</v>
      </c>
      <c r="E68" s="17">
        <f t="shared" si="36"/>
        <v>26619.091987302276</v>
      </c>
      <c r="F68" s="18">
        <f t="shared" si="47"/>
        <v>32.731355110091783</v>
      </c>
      <c r="G68" s="17">
        <f t="shared" si="37"/>
        <v>13200</v>
      </c>
      <c r="H68" s="17">
        <f t="shared" si="38"/>
        <v>40500</v>
      </c>
      <c r="I68" s="17">
        <f t="shared" si="48"/>
        <v>1103.9619249330972</v>
      </c>
      <c r="J68" s="17">
        <f t="shared" si="39"/>
        <v>1983.9619249330972</v>
      </c>
      <c r="K68" s="17">
        <f t="shared" si="40"/>
        <v>716.03807506690282</v>
      </c>
      <c r="L68" s="17">
        <f t="shared" si="41"/>
        <v>-19319.091987302276</v>
      </c>
      <c r="N68">
        <v>15</v>
      </c>
      <c r="O68" s="13">
        <f t="shared" si="42"/>
        <v>813.25969846861108</v>
      </c>
      <c r="P68" s="13">
        <f>Labor!$H$7+Labor!$H$8</f>
        <v>3317.5380782642392</v>
      </c>
      <c r="Q68" s="13">
        <f t="shared" si="49"/>
        <v>4130.7977767328503</v>
      </c>
      <c r="R68" s="13">
        <f t="shared" si="43"/>
        <v>3410.7977767328503</v>
      </c>
      <c r="S68" s="17">
        <f t="shared" si="44"/>
        <v>84215.239179389755</v>
      </c>
      <c r="T68" s="17">
        <f t="shared" si="50"/>
        <v>1103.9619249331008</v>
      </c>
      <c r="U68" s="17">
        <f t="shared" si="45"/>
        <v>1983.9619249331008</v>
      </c>
      <c r="V68" s="17">
        <f t="shared" si="46"/>
        <v>716.03807506689918</v>
      </c>
    </row>
    <row r="69" spans="1:22" x14ac:dyDescent="0.2">
      <c r="A69">
        <v>16</v>
      </c>
      <c r="B69" s="13" cm="1">
        <f t="array" ref="B69">INDEX(Labor!$D$5:$D$36,$A69+1)</f>
        <v>878.32047434610013</v>
      </c>
      <c r="C69" s="13">
        <f t="shared" si="34"/>
        <v>720</v>
      </c>
      <c r="D69" s="13">
        <f t="shared" si="35"/>
        <v>158.32047434610013</v>
      </c>
      <c r="E69" s="17">
        <f t="shared" si="36"/>
        <v>27748.619346286461</v>
      </c>
      <c r="F69" s="18">
        <f t="shared" si="47"/>
        <v>31.592818517574695</v>
      </c>
      <c r="G69" s="17">
        <f t="shared" si="37"/>
        <v>14080</v>
      </c>
      <c r="H69" s="17">
        <f t="shared" si="38"/>
        <v>43200</v>
      </c>
      <c r="I69" s="17">
        <f t="shared" si="48"/>
        <v>1129.5273589841854</v>
      </c>
      <c r="J69" s="17">
        <f t="shared" si="39"/>
        <v>2009.5273589841854</v>
      </c>
      <c r="K69" s="17">
        <f t="shared" si="40"/>
        <v>690.47264101581459</v>
      </c>
      <c r="L69" s="17">
        <f t="shared" si="41"/>
        <v>-18628.619346286461</v>
      </c>
      <c r="N69">
        <v>16</v>
      </c>
      <c r="O69" s="13">
        <f t="shared" si="42"/>
        <v>878.32047434610013</v>
      </c>
      <c r="P69" s="13">
        <f>Labor!$H$7+Labor!$H$8</f>
        <v>3317.5380782642392</v>
      </c>
      <c r="Q69" s="13">
        <f t="shared" si="49"/>
        <v>4195.8585526103398</v>
      </c>
      <c r="R69" s="13">
        <f t="shared" si="43"/>
        <v>3475.8585526103398</v>
      </c>
      <c r="S69" s="17">
        <f t="shared" si="44"/>
        <v>85344.766538373951</v>
      </c>
      <c r="T69" s="17">
        <f t="shared" si="50"/>
        <v>1129.5273589841963</v>
      </c>
      <c r="U69" s="17">
        <f t="shared" si="45"/>
        <v>2009.5273589841963</v>
      </c>
      <c r="V69" s="17">
        <f t="shared" si="46"/>
        <v>690.47264101580367</v>
      </c>
    </row>
    <row r="70" spans="1:22" x14ac:dyDescent="0.2">
      <c r="A70">
        <v>17</v>
      </c>
      <c r="B70" s="13" cm="1">
        <f t="array" ref="B70">INDEX(Labor!$D$5:$D$36,$A70+1)</f>
        <v>944.88069779264049</v>
      </c>
      <c r="C70" s="13">
        <f t="shared" si="34"/>
        <v>720</v>
      </c>
      <c r="D70" s="13">
        <f t="shared" si="35"/>
        <v>224.88069779264049</v>
      </c>
      <c r="E70" s="17">
        <f t="shared" si="36"/>
        <v>28904.178781122231</v>
      </c>
      <c r="F70" s="18">
        <f t="shared" si="47"/>
        <v>30.590294466429476</v>
      </c>
      <c r="G70" s="17">
        <f t="shared" si="37"/>
        <v>14960</v>
      </c>
      <c r="H70" s="17">
        <f t="shared" si="38"/>
        <v>45900</v>
      </c>
      <c r="I70" s="17">
        <f t="shared" si="48"/>
        <v>1155.5594348357699</v>
      </c>
      <c r="J70" s="17">
        <f t="shared" si="39"/>
        <v>2035.5594348357699</v>
      </c>
      <c r="K70" s="17">
        <f t="shared" si="40"/>
        <v>664.44056516423007</v>
      </c>
      <c r="L70" s="17">
        <f t="shared" si="41"/>
        <v>-17964.178781122231</v>
      </c>
      <c r="N70">
        <v>17</v>
      </c>
      <c r="O70" s="13">
        <f t="shared" si="42"/>
        <v>944.88069779264049</v>
      </c>
      <c r="P70" s="13">
        <f>Labor!$H$7+Labor!$H$8</f>
        <v>3317.5380782642392</v>
      </c>
      <c r="Q70" s="13">
        <f t="shared" si="49"/>
        <v>4262.4187760568793</v>
      </c>
      <c r="R70" s="13">
        <f t="shared" si="43"/>
        <v>3542.4187760568793</v>
      </c>
      <c r="S70" s="17">
        <f t="shared" si="44"/>
        <v>86500.325973209707</v>
      </c>
      <c r="T70" s="17">
        <f t="shared" si="50"/>
        <v>1155.5594348357554</v>
      </c>
      <c r="U70" s="17">
        <f t="shared" si="45"/>
        <v>2035.5594348357554</v>
      </c>
      <c r="V70" s="17">
        <f t="shared" si="46"/>
        <v>664.44056516424462</v>
      </c>
    </row>
    <row r="71" spans="1:22" x14ac:dyDescent="0.2">
      <c r="A71">
        <v>18</v>
      </c>
      <c r="B71" s="13" cm="1">
        <f t="array" ref="B71">INDEX(Labor!$D$5:$D$36,$A71+1)</f>
        <v>1012.9676892512279</v>
      </c>
      <c r="C71" s="13">
        <f t="shared" si="34"/>
        <v>720</v>
      </c>
      <c r="D71" s="13">
        <f t="shared" si="35"/>
        <v>292.96768925122785</v>
      </c>
      <c r="E71" s="17">
        <f t="shared" si="36"/>
        <v>30086.244605056039</v>
      </c>
      <c r="F71" s="18">
        <f t="shared" si="47"/>
        <v>29.701090098239352</v>
      </c>
      <c r="G71" s="17">
        <f t="shared" si="37"/>
        <v>15840</v>
      </c>
      <c r="H71" s="17">
        <f t="shared" si="38"/>
        <v>48600</v>
      </c>
      <c r="I71" s="17">
        <f t="shared" si="48"/>
        <v>1182.0658239338081</v>
      </c>
      <c r="J71" s="17">
        <f t="shared" si="39"/>
        <v>2062.0658239338081</v>
      </c>
      <c r="K71" s="17">
        <f t="shared" si="40"/>
        <v>637.93417606619187</v>
      </c>
      <c r="L71" s="17">
        <f t="shared" si="41"/>
        <v>-17326.244605056039</v>
      </c>
      <c r="N71">
        <v>18</v>
      </c>
      <c r="O71" s="13">
        <f t="shared" si="42"/>
        <v>1012.9676892512279</v>
      </c>
      <c r="P71" s="13">
        <f>Labor!$H$7+Labor!$H$8</f>
        <v>3317.5380782642392</v>
      </c>
      <c r="Q71" s="13">
        <f t="shared" si="49"/>
        <v>4330.5057675154667</v>
      </c>
      <c r="R71" s="13">
        <f t="shared" si="43"/>
        <v>3610.5057675154667</v>
      </c>
      <c r="S71" s="17">
        <f t="shared" si="44"/>
        <v>87682.391797143515</v>
      </c>
      <c r="T71" s="17">
        <f t="shared" si="50"/>
        <v>1182.0658239338081</v>
      </c>
      <c r="U71" s="17">
        <f t="shared" si="45"/>
        <v>2062.0658239338081</v>
      </c>
      <c r="V71" s="17">
        <f t="shared" si="46"/>
        <v>637.93417606619187</v>
      </c>
    </row>
    <row r="72" spans="1:22" x14ac:dyDescent="0.2">
      <c r="A72">
        <v>19</v>
      </c>
      <c r="B72" s="13" cm="1">
        <f t="array" ref="B72">INDEX(Labor!$D$5:$D$36,$A72+1)</f>
        <v>1082.6092178872495</v>
      </c>
      <c r="C72" s="13">
        <f t="shared" si="34"/>
        <v>720</v>
      </c>
      <c r="D72" s="13">
        <f t="shared" si="35"/>
        <v>362.60921788724954</v>
      </c>
      <c r="E72" s="17">
        <f t="shared" si="36"/>
        <v>31295.298921653637</v>
      </c>
      <c r="F72" s="18">
        <f t="shared" si="47"/>
        <v>28.907290280353909</v>
      </c>
      <c r="G72" s="17">
        <f t="shared" si="37"/>
        <v>16720</v>
      </c>
      <c r="H72" s="17">
        <f t="shared" si="38"/>
        <v>51300</v>
      </c>
      <c r="I72" s="17">
        <f t="shared" si="48"/>
        <v>1209.0543165975978</v>
      </c>
      <c r="J72" s="17">
        <f t="shared" si="39"/>
        <v>2089.0543165975978</v>
      </c>
      <c r="K72" s="17">
        <f t="shared" si="40"/>
        <v>610.94568340240221</v>
      </c>
      <c r="L72" s="17">
        <f t="shared" si="41"/>
        <v>-16715.298921653637</v>
      </c>
      <c r="N72">
        <v>19</v>
      </c>
      <c r="O72" s="13">
        <f t="shared" si="42"/>
        <v>1082.6092178872495</v>
      </c>
      <c r="P72" s="13">
        <f>Labor!$H$7+Labor!$H$8</f>
        <v>3317.5380782642392</v>
      </c>
      <c r="Q72" s="13">
        <f t="shared" si="49"/>
        <v>4400.1472961514883</v>
      </c>
      <c r="R72" s="13">
        <f t="shared" si="43"/>
        <v>3680.1472961514883</v>
      </c>
      <c r="S72" s="17">
        <f t="shared" si="44"/>
        <v>88891.446113741113</v>
      </c>
      <c r="T72" s="17">
        <f t="shared" si="50"/>
        <v>1209.0543165975978</v>
      </c>
      <c r="U72" s="17">
        <f t="shared" si="45"/>
        <v>2089.0543165975978</v>
      </c>
      <c r="V72" s="17">
        <f t="shared" si="46"/>
        <v>610.94568340240221</v>
      </c>
    </row>
    <row r="73" spans="1:22" x14ac:dyDescent="0.2">
      <c r="A73">
        <v>20</v>
      </c>
      <c r="B73" s="13" cm="1">
        <f t="array" ref="B73">INDEX(Labor!$D$5:$D$36,$A73+1)</f>
        <v>1153.8335085377266</v>
      </c>
      <c r="C73" s="13">
        <f t="shared" si="34"/>
        <v>720</v>
      </c>
      <c r="D73" s="13">
        <f t="shared" si="35"/>
        <v>433.83350853772663</v>
      </c>
      <c r="E73" s="17">
        <f t="shared" si="36"/>
        <v>32531.831745446641</v>
      </c>
      <c r="F73" s="18">
        <f t="shared" si="47"/>
        <v>28.19456317114139</v>
      </c>
      <c r="G73" s="17">
        <f t="shared" si="37"/>
        <v>17600</v>
      </c>
      <c r="H73" s="17">
        <f t="shared" si="38"/>
        <v>54000</v>
      </c>
      <c r="I73" s="17">
        <f t="shared" si="48"/>
        <v>1236.5328237930044</v>
      </c>
      <c r="J73" s="17">
        <f t="shared" si="39"/>
        <v>2116.5328237930044</v>
      </c>
      <c r="K73" s="17">
        <f t="shared" si="40"/>
        <v>583.46717620699565</v>
      </c>
      <c r="L73" s="17">
        <f t="shared" si="41"/>
        <v>-16131.831745446641</v>
      </c>
      <c r="N73">
        <v>20</v>
      </c>
      <c r="O73" s="13">
        <f t="shared" si="42"/>
        <v>1153.8335085377266</v>
      </c>
      <c r="P73" s="13">
        <f>Labor!$H$7+Labor!$H$8</f>
        <v>3317.5380782642392</v>
      </c>
      <c r="Q73" s="13">
        <f t="shared" si="49"/>
        <v>4471.3715868019663</v>
      </c>
      <c r="R73" s="13">
        <f t="shared" si="43"/>
        <v>3751.3715868019663</v>
      </c>
      <c r="S73" s="17">
        <f t="shared" si="44"/>
        <v>90127.978937534135</v>
      </c>
      <c r="T73" s="17">
        <f t="shared" si="50"/>
        <v>1236.5328237930225</v>
      </c>
      <c r="U73" s="17">
        <f t="shared" si="45"/>
        <v>2116.5328237930225</v>
      </c>
      <c r="V73" s="17">
        <f t="shared" si="46"/>
        <v>583.46717620697746</v>
      </c>
    </row>
    <row r="74" spans="1:22" x14ac:dyDescent="0.2">
      <c r="A74">
        <v>21</v>
      </c>
      <c r="B74" s="13" cm="1">
        <f t="array" ref="B74">INDEX(Labor!$D$5:$D$36,$A74+1)</f>
        <v>1226.6692487641703</v>
      </c>
      <c r="C74" s="13">
        <f t="shared" si="34"/>
        <v>720</v>
      </c>
      <c r="D74" s="13">
        <f t="shared" si="35"/>
        <v>506.66924876417033</v>
      </c>
      <c r="E74" s="17">
        <f t="shared" si="36"/>
        <v>33796.341124377956</v>
      </c>
      <c r="F74" s="18">
        <f t="shared" si="47"/>
        <v>27.551307052350648</v>
      </c>
      <c r="G74" s="17">
        <f t="shared" si="37"/>
        <v>18480</v>
      </c>
      <c r="H74" s="17">
        <f t="shared" si="38"/>
        <v>56700</v>
      </c>
      <c r="I74" s="17">
        <f t="shared" si="48"/>
        <v>1264.5093789313141</v>
      </c>
      <c r="J74" s="17">
        <f t="shared" si="39"/>
        <v>2144.5093789313141</v>
      </c>
      <c r="K74" s="17">
        <f t="shared" si="40"/>
        <v>555.49062106868587</v>
      </c>
      <c r="L74" s="17">
        <f t="shared" si="41"/>
        <v>-15576.341124377956</v>
      </c>
      <c r="N74">
        <v>21</v>
      </c>
      <c r="O74" s="13">
        <f t="shared" si="42"/>
        <v>1226.6692487641703</v>
      </c>
      <c r="P74" s="13">
        <f>Labor!$H$7+Labor!$H$8</f>
        <v>3317.5380782642392</v>
      </c>
      <c r="Q74" s="13">
        <f t="shared" si="49"/>
        <v>4544.2073270284091</v>
      </c>
      <c r="R74" s="13">
        <f t="shared" si="43"/>
        <v>3824.2073270284091</v>
      </c>
      <c r="S74" s="17">
        <f t="shared" si="44"/>
        <v>91392.488316465431</v>
      </c>
      <c r="T74" s="17">
        <f t="shared" si="50"/>
        <v>1264.5093789312959</v>
      </c>
      <c r="U74" s="17">
        <f t="shared" si="45"/>
        <v>2144.5093789312959</v>
      </c>
      <c r="V74" s="17">
        <f t="shared" si="46"/>
        <v>555.49062106870406</v>
      </c>
    </row>
    <row r="75" spans="1:22" x14ac:dyDescent="0.2">
      <c r="A75">
        <v>22</v>
      </c>
      <c r="B75" s="13" cm="1">
        <f t="array" ref="B75">INDEX(Labor!$D$5:$D$36,$A75+1)</f>
        <v>1301.1455960105666</v>
      </c>
      <c r="C75" s="13">
        <f t="shared" si="34"/>
        <v>720</v>
      </c>
      <c r="D75" s="13">
        <f t="shared" si="35"/>
        <v>581.14559601056658</v>
      </c>
      <c r="E75" s="17">
        <f t="shared" si="36"/>
        <v>35089.333264072338</v>
      </c>
      <c r="F75" s="18">
        <f t="shared" si="47"/>
        <v>26.968029843592831</v>
      </c>
      <c r="G75" s="17">
        <f t="shared" si="37"/>
        <v>19360</v>
      </c>
      <c r="H75" s="17">
        <f t="shared" si="38"/>
        <v>59400</v>
      </c>
      <c r="I75" s="17">
        <f t="shared" si="48"/>
        <v>1292.9921396943828</v>
      </c>
      <c r="J75" s="17">
        <f t="shared" si="39"/>
        <v>2172.9921396943828</v>
      </c>
      <c r="K75" s="17">
        <f t="shared" si="40"/>
        <v>527.00786030561721</v>
      </c>
      <c r="L75" s="17">
        <f t="shared" si="41"/>
        <v>-15049.333264072338</v>
      </c>
      <c r="N75">
        <v>22</v>
      </c>
      <c r="O75" s="13">
        <f t="shared" si="42"/>
        <v>1301.1455960105666</v>
      </c>
      <c r="P75" s="13">
        <f>Labor!$H$7+Labor!$H$8</f>
        <v>3317.5380782642392</v>
      </c>
      <c r="Q75" s="13">
        <f t="shared" si="49"/>
        <v>4618.6836742748055</v>
      </c>
      <c r="R75" s="13">
        <f t="shared" si="43"/>
        <v>3898.6836742748055</v>
      </c>
      <c r="S75" s="17">
        <f t="shared" si="44"/>
        <v>92685.480456159814</v>
      </c>
      <c r="T75" s="17">
        <f t="shared" si="50"/>
        <v>1292.9921396943828</v>
      </c>
      <c r="U75" s="17">
        <f t="shared" si="45"/>
        <v>2172.9921396943828</v>
      </c>
      <c r="V75" s="17">
        <f t="shared" si="46"/>
        <v>527.00786030561721</v>
      </c>
    </row>
    <row r="76" spans="1:22" x14ac:dyDescent="0.2">
      <c r="A76">
        <v>23</v>
      </c>
      <c r="B76" s="13" cm="1">
        <f t="array" ref="B76">INDEX(Labor!$D$5:$D$36,$A76+1)</f>
        <v>1377.292184868003</v>
      </c>
      <c r="C76" s="13">
        <f t="shared" si="34"/>
        <v>720</v>
      </c>
      <c r="D76" s="13">
        <f t="shared" si="35"/>
        <v>657.29218486800301</v>
      </c>
      <c r="E76" s="17">
        <f t="shared" si="36"/>
        <v>36411.322653958385</v>
      </c>
      <c r="F76" s="18">
        <f t="shared" si="47"/>
        <v>26.436890482645101</v>
      </c>
      <c r="G76" s="17">
        <f t="shared" si="37"/>
        <v>20240</v>
      </c>
      <c r="H76" s="17">
        <f t="shared" si="38"/>
        <v>62100</v>
      </c>
      <c r="I76" s="17">
        <f t="shared" si="48"/>
        <v>1321.9893898860464</v>
      </c>
      <c r="J76" s="17">
        <f t="shared" si="39"/>
        <v>2201.9893898860464</v>
      </c>
      <c r="K76" s="17">
        <f t="shared" si="40"/>
        <v>498.01061011395359</v>
      </c>
      <c r="L76" s="17">
        <f t="shared" si="41"/>
        <v>-14551.322653958385</v>
      </c>
      <c r="N76">
        <v>23</v>
      </c>
      <c r="O76" s="13">
        <f t="shared" si="42"/>
        <v>1377.292184868003</v>
      </c>
      <c r="P76" s="13">
        <f>Labor!$H$7+Labor!$H$8</f>
        <v>3317.5380782642392</v>
      </c>
      <c r="Q76" s="13">
        <f t="shared" si="49"/>
        <v>4694.8302631322422</v>
      </c>
      <c r="R76" s="13">
        <f t="shared" si="43"/>
        <v>3974.8302631322422</v>
      </c>
      <c r="S76" s="17">
        <f t="shared" si="44"/>
        <v>94007.469846045875</v>
      </c>
      <c r="T76" s="17">
        <f t="shared" si="50"/>
        <v>1321.989389886061</v>
      </c>
      <c r="U76" s="17">
        <f t="shared" si="45"/>
        <v>2201.989389886061</v>
      </c>
      <c r="V76" s="17">
        <f t="shared" si="46"/>
        <v>498.01061011393904</v>
      </c>
    </row>
    <row r="77" spans="1:22" x14ac:dyDescent="0.2">
      <c r="A77">
        <v>24</v>
      </c>
      <c r="B77" s="13" cm="1">
        <f t="array" ref="B77">INDEX(Labor!$D$5:$D$36,$A77+1)</f>
        <v>1455.1391344474989</v>
      </c>
      <c r="C77" s="13">
        <f t="shared" si="34"/>
        <v>720</v>
      </c>
      <c r="D77" s="13">
        <f t="shared" si="35"/>
        <v>735.13913444749892</v>
      </c>
      <c r="E77" s="17">
        <f t="shared" si="36"/>
        <v>37762.832195269075</v>
      </c>
      <c r="F77" s="18">
        <f t="shared" si="47"/>
        <v>25.951354960711182</v>
      </c>
      <c r="G77" s="17">
        <f t="shared" si="37"/>
        <v>21120</v>
      </c>
      <c r="H77" s="17">
        <f t="shared" si="38"/>
        <v>64800</v>
      </c>
      <c r="I77" s="17">
        <f t="shared" si="48"/>
        <v>1351.5095413106901</v>
      </c>
      <c r="J77" s="17">
        <f t="shared" si="39"/>
        <v>2231.5095413106901</v>
      </c>
      <c r="K77" s="17">
        <f t="shared" si="40"/>
        <v>468.49045868930989</v>
      </c>
      <c r="L77" s="17">
        <f t="shared" si="41"/>
        <v>-14082.832195269075</v>
      </c>
      <c r="N77">
        <v>24</v>
      </c>
      <c r="O77" s="13">
        <f t="shared" si="42"/>
        <v>1455.1391344474989</v>
      </c>
      <c r="P77" s="13">
        <f>Labor!$H$7+Labor!$H$8</f>
        <v>3317.5380782642392</v>
      </c>
      <c r="Q77" s="13">
        <f t="shared" si="49"/>
        <v>4772.6772127117383</v>
      </c>
      <c r="R77" s="13">
        <f t="shared" si="43"/>
        <v>4052.6772127117383</v>
      </c>
      <c r="S77" s="17">
        <f t="shared" si="44"/>
        <v>95358.979387356565</v>
      </c>
      <c r="T77" s="17">
        <f t="shared" si="50"/>
        <v>1351.5095413106901</v>
      </c>
      <c r="U77" s="17">
        <f t="shared" si="45"/>
        <v>2231.5095413106901</v>
      </c>
      <c r="V77" s="17">
        <f t="shared" si="46"/>
        <v>468.49045868930989</v>
      </c>
    </row>
    <row r="78" spans="1:22" x14ac:dyDescent="0.2">
      <c r="A78">
        <v>25</v>
      </c>
      <c r="B78" s="13" cm="1">
        <f t="array" ref="B78">INDEX(Labor!$D$5:$D$36,$A78+1)</f>
        <v>1534.7170558625965</v>
      </c>
      <c r="C78" s="13">
        <f t="shared" si="34"/>
        <v>720</v>
      </c>
      <c r="D78" s="13">
        <f t="shared" si="35"/>
        <v>814.71705586259645</v>
      </c>
      <c r="E78" s="17">
        <f t="shared" si="36"/>
        <v>39144.393330947853</v>
      </c>
      <c r="F78" s="18">
        <f t="shared" si="47"/>
        <v>25.505934909250438</v>
      </c>
      <c r="G78" s="17">
        <f t="shared" si="37"/>
        <v>22000</v>
      </c>
      <c r="H78" s="17">
        <f t="shared" si="38"/>
        <v>67500</v>
      </c>
      <c r="I78" s="17">
        <f t="shared" si="48"/>
        <v>1381.5611356787776</v>
      </c>
      <c r="J78" s="17">
        <f t="shared" si="39"/>
        <v>2261.5611356787776</v>
      </c>
      <c r="K78" s="17">
        <f t="shared" si="40"/>
        <v>438.43886432122235</v>
      </c>
      <c r="L78" s="17">
        <f t="shared" si="41"/>
        <v>-13644.393330947853</v>
      </c>
      <c r="N78">
        <v>25</v>
      </c>
      <c r="O78" s="13">
        <f t="shared" si="42"/>
        <v>1534.7170558625965</v>
      </c>
      <c r="P78" s="13">
        <f>Labor!$H$7+Labor!$H$8</f>
        <v>3317.5380782642392</v>
      </c>
      <c r="Q78" s="13">
        <f t="shared" si="49"/>
        <v>4852.2551341268354</v>
      </c>
      <c r="R78" s="13">
        <f t="shared" si="43"/>
        <v>4132.2551341268354</v>
      </c>
      <c r="S78" s="17">
        <f t="shared" si="44"/>
        <v>96740.540523035335</v>
      </c>
      <c r="T78" s="17">
        <f t="shared" si="50"/>
        <v>1381.5611356787704</v>
      </c>
      <c r="U78" s="17">
        <f t="shared" si="45"/>
        <v>2261.5611356787704</v>
      </c>
      <c r="V78" s="17">
        <f t="shared" si="46"/>
        <v>438.43886432122963</v>
      </c>
    </row>
    <row r="79" spans="1:22" x14ac:dyDescent="0.2">
      <c r="A79">
        <v>26</v>
      </c>
      <c r="B79" s="13" cm="1">
        <f t="array" ref="B79">INDEX(Labor!$D$5:$D$36,$A79+1)</f>
        <v>1616.0570598233144</v>
      </c>
      <c r="C79" s="13">
        <f t="shared" si="34"/>
        <v>720</v>
      </c>
      <c r="D79" s="13">
        <f t="shared" si="35"/>
        <v>896.05705982331438</v>
      </c>
      <c r="E79" s="17">
        <f t="shared" si="36"/>
        <v>40556.546177488097</v>
      </c>
      <c r="F79" s="18">
        <f t="shared" si="47"/>
        <v>25.095986512952827</v>
      </c>
      <c r="G79" s="17">
        <f t="shared" si="37"/>
        <v>22880</v>
      </c>
      <c r="H79" s="17">
        <f t="shared" si="38"/>
        <v>70200</v>
      </c>
      <c r="I79" s="17">
        <f t="shared" si="48"/>
        <v>1412.1528465402444</v>
      </c>
      <c r="J79" s="17">
        <f t="shared" si="39"/>
        <v>2292.1528465402444</v>
      </c>
      <c r="K79" s="17">
        <f t="shared" si="40"/>
        <v>407.84715345975565</v>
      </c>
      <c r="L79" s="17">
        <f t="shared" si="41"/>
        <v>-13236.546177488097</v>
      </c>
      <c r="N79">
        <v>26</v>
      </c>
      <c r="O79" s="13">
        <f t="shared" si="42"/>
        <v>1616.0570598233144</v>
      </c>
      <c r="P79" s="13">
        <f>Labor!$H$7+Labor!$H$8</f>
        <v>3317.5380782642392</v>
      </c>
      <c r="Q79" s="13">
        <f t="shared" si="49"/>
        <v>4933.595138087554</v>
      </c>
      <c r="R79" s="13">
        <f t="shared" si="43"/>
        <v>4213.595138087554</v>
      </c>
      <c r="S79" s="17">
        <f t="shared" si="44"/>
        <v>98152.693369575587</v>
      </c>
      <c r="T79" s="17">
        <f t="shared" si="50"/>
        <v>1412.1528465402516</v>
      </c>
      <c r="U79" s="17">
        <f t="shared" si="45"/>
        <v>2292.1528465402516</v>
      </c>
      <c r="V79" s="17">
        <f t="shared" si="46"/>
        <v>407.84715345974837</v>
      </c>
    </row>
    <row r="80" spans="1:22" x14ac:dyDescent="0.2">
      <c r="A80">
        <v>27</v>
      </c>
      <c r="B80" s="13" cm="1">
        <f t="array" ref="B80">INDEX(Labor!$D$5:$D$36,$A80+1)</f>
        <v>1699.1907643430709</v>
      </c>
      <c r="C80" s="13">
        <f t="shared" si="34"/>
        <v>720</v>
      </c>
      <c r="D80" s="13">
        <f t="shared" si="35"/>
        <v>979.1907643430709</v>
      </c>
      <c r="E80" s="17">
        <f t="shared" si="36"/>
        <v>41999.839658733865</v>
      </c>
      <c r="F80" s="18">
        <f t="shared" si="47"/>
        <v>24.717554108747493</v>
      </c>
      <c r="G80" s="17">
        <f t="shared" si="37"/>
        <v>23760</v>
      </c>
      <c r="H80" s="17">
        <f t="shared" si="38"/>
        <v>72900</v>
      </c>
      <c r="I80" s="17">
        <f t="shared" si="48"/>
        <v>1443.2934812457679</v>
      </c>
      <c r="J80" s="17">
        <f t="shared" si="39"/>
        <v>2323.2934812457679</v>
      </c>
      <c r="K80" s="17">
        <f t="shared" si="40"/>
        <v>376.70651875423209</v>
      </c>
      <c r="L80" s="17">
        <f t="shared" si="41"/>
        <v>-12859.839658733865</v>
      </c>
      <c r="N80">
        <v>27</v>
      </c>
      <c r="O80" s="13">
        <f t="shared" si="42"/>
        <v>1699.1907643430709</v>
      </c>
      <c r="P80" s="13">
        <f>Labor!$H$7+Labor!$H$8</f>
        <v>3317.5380782642392</v>
      </c>
      <c r="Q80" s="13">
        <f t="shared" si="49"/>
        <v>5016.7288426073101</v>
      </c>
      <c r="R80" s="13">
        <f t="shared" si="43"/>
        <v>4296.7288426073101</v>
      </c>
      <c r="S80" s="17">
        <f t="shared" si="44"/>
        <v>99595.986850821355</v>
      </c>
      <c r="T80" s="17">
        <f t="shared" si="50"/>
        <v>1443.2934812457679</v>
      </c>
      <c r="U80" s="17">
        <f t="shared" si="45"/>
        <v>2323.2934812457679</v>
      </c>
      <c r="V80" s="17">
        <f t="shared" si="46"/>
        <v>376.70651875423209</v>
      </c>
    </row>
    <row r="81" spans="1:22" x14ac:dyDescent="0.2">
      <c r="A81">
        <v>28</v>
      </c>
      <c r="B81" s="13" cm="1">
        <f t="array" ref="B81">INDEX(Labor!$D$5:$D$36,$A81+1)</f>
        <v>1784.1503025602246</v>
      </c>
      <c r="C81" s="13">
        <f t="shared" si="34"/>
        <v>720</v>
      </c>
      <c r="D81" s="13">
        <f t="shared" si="35"/>
        <v>1064.1503025602246</v>
      </c>
      <c r="E81" s="17">
        <f t="shared" si="36"/>
        <v>43474.831641670564</v>
      </c>
      <c r="F81" s="18">
        <f t="shared" si="47"/>
        <v>24.367247299336238</v>
      </c>
      <c r="G81" s="17">
        <f t="shared" si="37"/>
        <v>24640</v>
      </c>
      <c r="H81" s="17">
        <f t="shared" si="38"/>
        <v>75600</v>
      </c>
      <c r="I81" s="17">
        <f t="shared" si="48"/>
        <v>1474.9919829366991</v>
      </c>
      <c r="J81" s="17">
        <f t="shared" si="39"/>
        <v>2354.9919829366991</v>
      </c>
      <c r="K81" s="17">
        <f t="shared" si="40"/>
        <v>345.00801706330094</v>
      </c>
      <c r="L81" s="17">
        <f t="shared" si="41"/>
        <v>-12514.831641670564</v>
      </c>
      <c r="N81">
        <v>28</v>
      </c>
      <c r="O81" s="13">
        <f t="shared" si="42"/>
        <v>1784.1503025602246</v>
      </c>
      <c r="P81" s="13">
        <f>Labor!$H$7+Labor!$H$8</f>
        <v>3317.5380782642392</v>
      </c>
      <c r="Q81" s="13">
        <f t="shared" si="49"/>
        <v>5101.6883808244638</v>
      </c>
      <c r="R81" s="13">
        <f t="shared" si="43"/>
        <v>4381.6883808244638</v>
      </c>
      <c r="S81" s="17">
        <f t="shared" si="44"/>
        <v>101070.97883375805</v>
      </c>
      <c r="T81" s="17">
        <f t="shared" si="50"/>
        <v>1474.9919829366991</v>
      </c>
      <c r="U81" s="17">
        <f t="shared" si="45"/>
        <v>2354.9919829366991</v>
      </c>
      <c r="V81" s="17">
        <f t="shared" si="46"/>
        <v>345.00801706330094</v>
      </c>
    </row>
    <row r="82" spans="1:22" x14ac:dyDescent="0.2">
      <c r="A82">
        <v>29</v>
      </c>
      <c r="B82" s="13" cm="1">
        <f t="array" ref="B82">INDEX(Labor!$D$5:$D$36,$A82+1)</f>
        <v>1870.9683306758782</v>
      </c>
      <c r="C82" s="13">
        <f t="shared" si="34"/>
        <v>720</v>
      </c>
      <c r="D82" s="13">
        <f t="shared" si="35"/>
        <v>1150.9683306758782</v>
      </c>
      <c r="E82" s="17">
        <f t="shared" si="36"/>
        <v>44982.089074233998</v>
      </c>
      <c r="F82" s="18">
        <f t="shared" si="47"/>
        <v>24.042143491538649</v>
      </c>
      <c r="G82" s="17">
        <f t="shared" si="37"/>
        <v>25520</v>
      </c>
      <c r="H82" s="17">
        <f t="shared" si="38"/>
        <v>78300</v>
      </c>
      <c r="I82" s="17">
        <f t="shared" si="48"/>
        <v>1507.2574325634341</v>
      </c>
      <c r="J82" s="17">
        <f t="shared" si="39"/>
        <v>2387.2574325634341</v>
      </c>
      <c r="K82" s="17">
        <f t="shared" si="40"/>
        <v>312.74256743656588</v>
      </c>
      <c r="L82" s="17">
        <f t="shared" si="41"/>
        <v>-12202.089074233998</v>
      </c>
      <c r="N82">
        <v>29</v>
      </c>
      <c r="O82" s="13">
        <f t="shared" si="42"/>
        <v>1870.9683306758782</v>
      </c>
      <c r="P82" s="13">
        <f>Labor!$H$7+Labor!$H$8</f>
        <v>3317.5380782642392</v>
      </c>
      <c r="Q82" s="13">
        <f t="shared" si="49"/>
        <v>5188.5064089401176</v>
      </c>
      <c r="R82" s="13">
        <f t="shared" si="43"/>
        <v>4468.5064089401176</v>
      </c>
      <c r="S82" s="17">
        <f t="shared" si="44"/>
        <v>102578.23626632149</v>
      </c>
      <c r="T82" s="17">
        <f t="shared" si="50"/>
        <v>1507.2574325634341</v>
      </c>
      <c r="U82" s="17">
        <f t="shared" si="45"/>
        <v>2387.2574325634341</v>
      </c>
      <c r="V82" s="17">
        <f t="shared" si="46"/>
        <v>312.74256743656588</v>
      </c>
    </row>
    <row r="83" spans="1:22" x14ac:dyDescent="0.2">
      <c r="A83">
        <v>30</v>
      </c>
      <c r="B83" s="13" cm="1">
        <f t="array" ref="B83">INDEX(Labor!$D$5:$D$36,$A83+1)</f>
        <v>1959.6780360096488</v>
      </c>
      <c r="C83" s="13">
        <f t="shared" si="34"/>
        <v>720</v>
      </c>
      <c r="D83" s="13">
        <f t="shared" si="35"/>
        <v>1239.6780360096488</v>
      </c>
      <c r="E83" s="17">
        <f t="shared" si="36"/>
        <v>46522.188125167515</v>
      </c>
      <c r="F83" s="18">
        <f t="shared" si="47"/>
        <v>23.739709926992546</v>
      </c>
      <c r="G83" s="17">
        <f t="shared" si="37"/>
        <v>26400</v>
      </c>
      <c r="H83" s="17">
        <f t="shared" si="38"/>
        <v>81000</v>
      </c>
      <c r="I83" s="17">
        <f t="shared" si="48"/>
        <v>1540.099050933517</v>
      </c>
      <c r="J83" s="17">
        <f t="shared" si="39"/>
        <v>2420.099050933517</v>
      </c>
      <c r="K83" s="17">
        <f t="shared" si="40"/>
        <v>279.90094906648301</v>
      </c>
      <c r="L83" s="17">
        <f t="shared" si="41"/>
        <v>-11922.188125167515</v>
      </c>
      <c r="N83">
        <v>30</v>
      </c>
      <c r="O83" s="13">
        <f t="shared" si="42"/>
        <v>1959.6780360096488</v>
      </c>
      <c r="P83" s="13">
        <f>Labor!$H$7+Labor!$H$8</f>
        <v>3317.5380782642392</v>
      </c>
      <c r="Q83" s="13">
        <f t="shared" si="49"/>
        <v>5277.2161142738878</v>
      </c>
      <c r="R83" s="13">
        <f t="shared" si="43"/>
        <v>4557.2161142738878</v>
      </c>
      <c r="S83" s="17">
        <f t="shared" si="44"/>
        <v>104118.335317255</v>
      </c>
      <c r="T83" s="17">
        <f t="shared" si="50"/>
        <v>1540.0990509335097</v>
      </c>
      <c r="U83" s="17">
        <f t="shared" si="45"/>
        <v>2420.0990509335097</v>
      </c>
      <c r="V83" s="17">
        <f t="shared" si="46"/>
        <v>279.90094906649028</v>
      </c>
    </row>
    <row r="84" spans="1:22" x14ac:dyDescent="0.2">
      <c r="N84">
        <v>31</v>
      </c>
      <c r="O84" s="13">
        <f t="shared" si="42"/>
        <v>2050.3131451750946</v>
      </c>
      <c r="P84" s="13">
        <f>Labor!$H$7+Labor!$H$8</f>
        <v>3317.5380782642392</v>
      </c>
      <c r="Q84" s="13">
        <f t="shared" si="49"/>
        <v>5367.8512234393338</v>
      </c>
      <c r="R84" s="13">
        <f t="shared" si="43"/>
        <v>4647.8512234393338</v>
      </c>
      <c r="S84" s="17">
        <f t="shared" si="44"/>
        <v>105691.86151804398</v>
      </c>
      <c r="T84" s="17">
        <f t="shared" si="50"/>
        <v>1573.5262007889833</v>
      </c>
      <c r="U84" s="17">
        <f t="shared" si="45"/>
        <v>2453.5262007889833</v>
      </c>
      <c r="V84" s="17">
        <f t="shared" si="46"/>
        <v>246.47379921101674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084C-3055-5047-9AAE-5B853D8F0DFD}">
  <dimension ref="A1:E52"/>
  <sheetViews>
    <sheetView tabSelected="1" workbookViewId="0">
      <selection activeCell="B8" sqref="B8"/>
    </sheetView>
  </sheetViews>
  <sheetFormatPr baseColWidth="10" defaultRowHeight="16" x14ac:dyDescent="0.2"/>
  <cols>
    <col min="1" max="1" width="31.6640625" customWidth="1"/>
    <col min="2" max="2" width="33.33203125" customWidth="1"/>
    <col min="3" max="8" width="15.83203125" customWidth="1"/>
    <col min="9" max="9" width="46.6640625" customWidth="1"/>
  </cols>
  <sheetData>
    <row r="1" spans="1:4" ht="19" x14ac:dyDescent="0.25">
      <c r="A1" s="2" t="s">
        <v>95</v>
      </c>
    </row>
    <row r="3" spans="1:4" x14ac:dyDescent="0.2">
      <c r="A3" s="1" t="s">
        <v>96</v>
      </c>
    </row>
    <row r="4" spans="1:4" ht="17" x14ac:dyDescent="0.2">
      <c r="A4" s="20" t="s">
        <v>97</v>
      </c>
      <c r="B4" s="20" t="s">
        <v>98</v>
      </c>
      <c r="C4" s="20" t="s">
        <v>99</v>
      </c>
      <c r="D4" s="20" t="s">
        <v>100</v>
      </c>
    </row>
    <row r="5" spans="1:4" x14ac:dyDescent="0.2">
      <c r="A5" t="s">
        <v>101</v>
      </c>
      <c r="B5" s="24">
        <v>10</v>
      </c>
      <c r="C5" s="15">
        <f>BED_CAP_TOMATO</f>
        <v>20</v>
      </c>
      <c r="D5" t="str">
        <f>IF($B5&lt;=$C5,"OK","VIOLATED")</f>
        <v>OK</v>
      </c>
    </row>
    <row r="6" spans="1:4" x14ac:dyDescent="0.2">
      <c r="A6" t="s">
        <v>102</v>
      </c>
      <c r="B6" s="24">
        <v>20</v>
      </c>
      <c r="C6" s="15">
        <f>BED_CAP_CARROT</f>
        <v>20</v>
      </c>
      <c r="D6" t="str">
        <f>IF($B6&lt;=$C6,"OK","VIOLATED")</f>
        <v>OK</v>
      </c>
    </row>
    <row r="7" spans="1:4" x14ac:dyDescent="0.2">
      <c r="A7" t="s">
        <v>37</v>
      </c>
      <c r="B7" s="24">
        <v>30</v>
      </c>
      <c r="C7" s="15">
        <f>BED_CAP_MESCLUN</f>
        <v>30</v>
      </c>
      <c r="D7" t="str">
        <f>IF($B7&lt;=$C7,"OK","VIOLATED")</f>
        <v>OK</v>
      </c>
    </row>
    <row r="8" spans="1:4" x14ac:dyDescent="0.2">
      <c r="A8" t="s">
        <v>103</v>
      </c>
      <c r="B8" s="15">
        <f>SUM($B$5:$B$7)</f>
        <v>60</v>
      </c>
      <c r="C8" s="15">
        <f>TOTAL_BEDS</f>
        <v>64</v>
      </c>
      <c r="D8" t="str">
        <f>IF($B8&lt;=$C8,"OK","VIOLATED")</f>
        <v>OK</v>
      </c>
    </row>
    <row r="10" spans="1:4" x14ac:dyDescent="0.2">
      <c r="A10" s="1" t="s">
        <v>104</v>
      </c>
    </row>
    <row r="11" spans="1:4" x14ac:dyDescent="0.2">
      <c r="A11" t="s">
        <v>60</v>
      </c>
      <c r="B11" s="25">
        <f>Labor!$H$10</f>
        <v>5277.2161142738878</v>
      </c>
    </row>
    <row r="12" spans="1:4" x14ac:dyDescent="0.2">
      <c r="A12" t="s">
        <v>105</v>
      </c>
      <c r="B12" s="23">
        <f>Labor!$H$13</f>
        <v>3.1647334126901998</v>
      </c>
      <c r="C12">
        <f>TEMP_WORKERS_MAX</f>
        <v>4</v>
      </c>
      <c r="D12" t="str">
        <f>IF($B12&lt;=$C12,"OK","VIOLATED")</f>
        <v>OK</v>
      </c>
    </row>
    <row r="13" spans="1:4" x14ac:dyDescent="0.2">
      <c r="A13" t="s">
        <v>64</v>
      </c>
      <c r="B13" s="23">
        <f>Labor!$H$14</f>
        <v>3.1647334126901998</v>
      </c>
    </row>
    <row r="14" spans="1:4" x14ac:dyDescent="0.2">
      <c r="A14" t="s">
        <v>69</v>
      </c>
      <c r="B14" s="26">
        <f>Labor!$H$19</f>
        <v>19.729784239010844</v>
      </c>
    </row>
    <row r="15" spans="1:4" x14ac:dyDescent="0.2">
      <c r="A15" t="s">
        <v>106</v>
      </c>
      <c r="B15" t="str">
        <f>IF(LABOR_MODE=1,"Fractional temp hours","Whole workers (step cost)")</f>
        <v>Fractional temp hours</v>
      </c>
    </row>
    <row r="17" spans="1:5" x14ac:dyDescent="0.2">
      <c r="A17" s="1" t="s">
        <v>107</v>
      </c>
    </row>
    <row r="18" spans="1:5" x14ac:dyDescent="0.2">
      <c r="A18" t="s">
        <v>108</v>
      </c>
      <c r="B18" s="17">
        <f>$B$5*PRICE_TOMATO+$B$6*PRICE_CARROT+$B$7*PRICE_MESCLUN</f>
        <v>210880</v>
      </c>
    </row>
    <row r="19" spans="1:5" x14ac:dyDescent="0.2">
      <c r="A19" t="s">
        <v>109</v>
      </c>
      <c r="B19" s="27">
        <f>-Labor!$H$18</f>
        <v>-104118.335317255</v>
      </c>
    </row>
    <row r="20" spans="1:5" x14ac:dyDescent="0.2">
      <c r="A20" t="s">
        <v>110</v>
      </c>
      <c r="B20" s="17">
        <f>-($B$5*FERT_TOMATO+$B$6*FERT_CARROT+$B$7*FERT_MESCLUN)</f>
        <v>-44000</v>
      </c>
    </row>
    <row r="21" spans="1:5" x14ac:dyDescent="0.2">
      <c r="A21" t="s">
        <v>111</v>
      </c>
      <c r="B21" s="17">
        <f>-FIXED_COST</f>
        <v>-20000</v>
      </c>
    </row>
    <row r="22" spans="1:5" ht="17" thickBot="1" x14ac:dyDescent="0.25">
      <c r="A22" t="s">
        <v>112</v>
      </c>
      <c r="B22" s="28">
        <f>SUM($B$18:$B$21)</f>
        <v>42761.664682745002</v>
      </c>
    </row>
    <row r="23" spans="1:5" ht="17" thickTop="1" x14ac:dyDescent="0.2"/>
    <row r="24" spans="1:5" x14ac:dyDescent="0.2">
      <c r="A24" s="1" t="s">
        <v>117</v>
      </c>
    </row>
    <row r="25" spans="1:5" ht="51" x14ac:dyDescent="0.2">
      <c r="A25" s="20" t="s">
        <v>97</v>
      </c>
      <c r="B25" s="20" t="s">
        <v>118</v>
      </c>
      <c r="C25" s="20" t="s">
        <v>119</v>
      </c>
      <c r="D25" s="20" t="s">
        <v>120</v>
      </c>
      <c r="E25" s="20" t="s">
        <v>121</v>
      </c>
    </row>
    <row r="26" spans="1:5" x14ac:dyDescent="0.2">
      <c r="A26" t="s">
        <v>101</v>
      </c>
      <c r="B26">
        <f>IF(COUNTIF(Cost!$K$6:$K$25,"&lt;0")=0,BED_CAP_TOMATO,_xlfn.MINIFS(Cost!$A$6:$A$25,Cost!$K$6:$K$25,"&lt;0")-1)</f>
        <v>10</v>
      </c>
      <c r="C26" s="17" cm="1">
        <f t="array" ref="C26">INDEX(Cost!$J$5:$J$25,$B26+1)</f>
        <v>8248.586534375012</v>
      </c>
      <c r="D26" cm="1">
        <f t="array" ref="D26">SUMPRODUCT(MAX((Cost!$K$6:$K$25&gt;=0)*Cost!$A$6:$A$25))</f>
        <v>10</v>
      </c>
      <c r="E26" t="str" cm="1">
        <f t="array" ref="E26">IF(SUMPRODUCT(--(Cost!$J$7:$J$25&lt;Cost!$J$6:$J$24))=0,"Yes","No")</f>
        <v>No</v>
      </c>
    </row>
    <row r="27" spans="1:5" x14ac:dyDescent="0.2">
      <c r="A27" t="s">
        <v>102</v>
      </c>
      <c r="B27">
        <f>IF(COUNTIF(Cost!$K$30:$K$49,"&lt;0")=0,BED_CAP_CARROT,_xlfn.MINIFS(Cost!$A$30:$A$49,Cost!$K$30:$K$49,"&lt;0")-1)</f>
        <v>10</v>
      </c>
      <c r="C27" s="17" cm="1">
        <f t="array" ref="C27">INDEX(Cost!$J$29:$J$49,$B27+1)</f>
        <v>2066.123658786024</v>
      </c>
      <c r="D27" cm="1">
        <f t="array" ref="D27">SUMPRODUCT(MAX((Cost!$K$30:$K$49&gt;=0)*Cost!$A$30:$A$49))</f>
        <v>20</v>
      </c>
      <c r="E27" t="str" cm="1">
        <f t="array" ref="E27">IF(SUMPRODUCT(--(Cost!$J$31:$J$49&lt;Cost!$J$30:$J$48))=0,"Yes","No")</f>
        <v>No</v>
      </c>
    </row>
    <row r="28" spans="1:5" x14ac:dyDescent="0.2">
      <c r="A28" t="s">
        <v>37</v>
      </c>
      <c r="B28">
        <f>IF(COUNTIF(Cost!$K$54:$K$83,"&lt;0")=0,BED_CAP_MESCLUN,_xlfn.MINIFS(Cost!$A$54:$A$83,Cost!$K$54:$K$83,"&lt;0")-1)</f>
        <v>6</v>
      </c>
      <c r="C28" s="17" cm="1">
        <f t="array" ref="C28">INDEX(Cost!$J$53:$J$83,$B28+1)</f>
        <v>2667.3254924178127</v>
      </c>
      <c r="D28" cm="1">
        <f t="array" ref="D28">SUMPRODUCT(MAX((Cost!$K$54:$K$83&gt;=0)*Cost!$A$54:$A$83))</f>
        <v>30</v>
      </c>
      <c r="E28" t="str" cm="1">
        <f t="array" ref="E28">IF(SUMPRODUCT(--(Cost!$J$55:$J$83&lt;Cost!$J$54:$J$82))=0,"Yes","No")</f>
        <v>No</v>
      </c>
    </row>
    <row r="29" spans="1:5" x14ac:dyDescent="0.2">
      <c r="A29" s="12" t="s">
        <v>122</v>
      </c>
    </row>
    <row r="30" spans="1:5" x14ac:dyDescent="0.2">
      <c r="A30" s="1" t="s">
        <v>113</v>
      </c>
    </row>
    <row r="31" spans="1:5" ht="34" x14ac:dyDescent="0.2">
      <c r="A31" s="20" t="s">
        <v>97</v>
      </c>
      <c r="B31" s="20" t="s">
        <v>99</v>
      </c>
      <c r="C31" s="20" t="s">
        <v>114</v>
      </c>
      <c r="D31" s="20" t="s">
        <v>115</v>
      </c>
      <c r="E31" s="20" t="s">
        <v>116</v>
      </c>
    </row>
    <row r="32" spans="1:5" x14ac:dyDescent="0.2">
      <c r="A32" t="s">
        <v>101</v>
      </c>
      <c r="B32">
        <f>BED_CAP_TOMATO</f>
        <v>20</v>
      </c>
      <c r="C32">
        <f>$B$5</f>
        <v>10</v>
      </c>
      <c r="D32" t="str">
        <f>IF($C32&gt;=$B32,"Yes","No")</f>
        <v>No</v>
      </c>
      <c r="E32" s="17">
        <f>IF($D32="No",0,MAX(0,INDEX(Cost!$V$5:$V$26,BED_CAP_TOMATO+2)))</f>
        <v>0</v>
      </c>
    </row>
    <row r="33" spans="1:5" x14ac:dyDescent="0.2">
      <c r="A33" t="s">
        <v>102</v>
      </c>
      <c r="B33">
        <f>BED_CAP_CARROT</f>
        <v>20</v>
      </c>
      <c r="C33">
        <f>$B$6</f>
        <v>20</v>
      </c>
      <c r="D33" t="str">
        <f>IF($C33&gt;=$B33,"Yes","No")</f>
        <v>Yes</v>
      </c>
      <c r="E33" s="17">
        <f>IF($D33="No",0,MAX(0,INDEX(Cost!$V$29:$V$50,BED_CAP_CARROT+2)))</f>
        <v>352.4947544568422</v>
      </c>
    </row>
    <row r="34" spans="1:5" x14ac:dyDescent="0.2">
      <c r="A34" t="s">
        <v>37</v>
      </c>
      <c r="B34">
        <f>BED_CAP_MESCLUN</f>
        <v>30</v>
      </c>
      <c r="C34">
        <f>$B$7</f>
        <v>30</v>
      </c>
      <c r="D34" t="str">
        <f>IF($C34&gt;=$B34,"Yes","No")</f>
        <v>Yes</v>
      </c>
      <c r="E34" s="17">
        <f>IF($D34="No",0,MAX(0,INDEX(Cost!$V$53:$V$84,BED_CAP_MESCLUN+2)))</f>
        <v>246.47379921101674</v>
      </c>
    </row>
    <row r="37" spans="1:5" x14ac:dyDescent="0.2">
      <c r="A37" s="1" t="s">
        <v>123</v>
      </c>
    </row>
    <row r="38" spans="1:5" x14ac:dyDescent="0.2">
      <c r="A38" s="1" t="s">
        <v>124</v>
      </c>
      <c r="B38" t="s">
        <v>125</v>
      </c>
    </row>
    <row r="39" spans="1:5" x14ac:dyDescent="0.2">
      <c r="A39" s="1" t="s">
        <v>126</v>
      </c>
      <c r="B39" t="s">
        <v>127</v>
      </c>
    </row>
    <row r="40" spans="1:5" x14ac:dyDescent="0.2">
      <c r="A40" s="1" t="s">
        <v>128</v>
      </c>
      <c r="B40" t="s">
        <v>129</v>
      </c>
    </row>
    <row r="41" spans="1:5" x14ac:dyDescent="0.2">
      <c r="A41" s="1" t="s">
        <v>130</v>
      </c>
      <c r="B41" t="s">
        <v>131</v>
      </c>
    </row>
    <row r="42" spans="1:5" x14ac:dyDescent="0.2">
      <c r="A42" s="1" t="s">
        <v>132</v>
      </c>
      <c r="B42" t="s">
        <v>133</v>
      </c>
    </row>
    <row r="43" spans="1:5" x14ac:dyDescent="0.2">
      <c r="A43" s="1" t="s">
        <v>134</v>
      </c>
      <c r="B43" t="s">
        <v>135</v>
      </c>
    </row>
    <row r="44" spans="1:5" x14ac:dyDescent="0.2">
      <c r="A44" s="1" t="s">
        <v>136</v>
      </c>
      <c r="B44" t="s">
        <v>137</v>
      </c>
    </row>
    <row r="45" spans="1:5" x14ac:dyDescent="0.2">
      <c r="A45" s="1" t="s">
        <v>138</v>
      </c>
      <c r="B45" t="s">
        <v>139</v>
      </c>
    </row>
    <row r="46" spans="1:5" x14ac:dyDescent="0.2">
      <c r="A46" s="1" t="s">
        <v>140</v>
      </c>
      <c r="B46" t="s">
        <v>141</v>
      </c>
    </row>
    <row r="47" spans="1:5" x14ac:dyDescent="0.2">
      <c r="A47" s="1" t="s">
        <v>142</v>
      </c>
      <c r="B47" t="s">
        <v>143</v>
      </c>
    </row>
    <row r="48" spans="1:5" x14ac:dyDescent="0.2">
      <c r="A48" s="1" t="s">
        <v>144</v>
      </c>
      <c r="B48" t="s">
        <v>145</v>
      </c>
    </row>
    <row r="49" spans="1:2" x14ac:dyDescent="0.2">
      <c r="A49" s="1" t="s">
        <v>146</v>
      </c>
      <c r="B49" t="s">
        <v>147</v>
      </c>
    </row>
    <row r="50" spans="1:2" x14ac:dyDescent="0.2">
      <c r="A50" s="1" t="s">
        <v>148</v>
      </c>
      <c r="B50" t="s">
        <v>149</v>
      </c>
    </row>
    <row r="51" spans="1:2" x14ac:dyDescent="0.2">
      <c r="A51" s="1" t="s">
        <v>150</v>
      </c>
      <c r="B51" t="s">
        <v>151</v>
      </c>
    </row>
    <row r="52" spans="1:2" x14ac:dyDescent="0.2">
      <c r="A52" s="1" t="s">
        <v>152</v>
      </c>
      <c r="B52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2341-5EBC-C747-AD36-ABF38EBC1756}">
  <dimension ref="A1:E29"/>
  <sheetViews>
    <sheetView workbookViewId="0">
      <selection activeCell="E14" sqref="E14"/>
    </sheetView>
  </sheetViews>
  <sheetFormatPr baseColWidth="10" defaultRowHeight="16" x14ac:dyDescent="0.2"/>
  <cols>
    <col min="1" max="1" width="50" customWidth="1"/>
    <col min="2" max="5" width="15.83203125" customWidth="1"/>
    <col min="6" max="6" width="41.6640625" customWidth="1"/>
    <col min="7" max="7" width="25" customWidth="1"/>
  </cols>
  <sheetData>
    <row r="1" spans="1:5" ht="19" x14ac:dyDescent="0.25">
      <c r="A1" s="2" t="s">
        <v>154</v>
      </c>
    </row>
    <row r="2" spans="1:5" x14ac:dyDescent="0.2">
      <c r="A2" s="12" t="str">
        <f>"Labor costing mode: "&amp;Optimization!$B$15</f>
        <v>Labor costing mode: Fractional temp hours</v>
      </c>
    </row>
    <row r="4" spans="1:5" x14ac:dyDescent="0.2">
      <c r="A4" s="1" t="s">
        <v>155</v>
      </c>
    </row>
    <row r="5" spans="1:5" ht="17" x14ac:dyDescent="0.2">
      <c r="A5" s="20" t="s">
        <v>156</v>
      </c>
      <c r="B5" s="20" t="s">
        <v>157</v>
      </c>
      <c r="C5" s="20" t="s">
        <v>158</v>
      </c>
      <c r="D5" s="20" t="s">
        <v>159</v>
      </c>
      <c r="E5" s="20" t="s">
        <v>160</v>
      </c>
    </row>
    <row r="6" spans="1:5" x14ac:dyDescent="0.2">
      <c r="A6" t="s">
        <v>161</v>
      </c>
      <c r="B6" s="30">
        <f>1*2.5*36*1.1</f>
        <v>99.000000000000014</v>
      </c>
      <c r="C6" s="16">
        <f>Labor!$B$6</f>
        <v>99.000000000000014</v>
      </c>
      <c r="D6" s="16">
        <f>$C$6-$B$6</f>
        <v>0</v>
      </c>
      <c r="E6" t="str">
        <f>IF(ROUND($D$6,6)=0,"PASS","FAIL")</f>
        <v>PASS</v>
      </c>
    </row>
    <row r="7" spans="1:5" x14ac:dyDescent="0.2">
      <c r="B7" s="4"/>
    </row>
    <row r="8" spans="1:5" x14ac:dyDescent="0.2">
      <c r="A8" s="1" t="s">
        <v>162</v>
      </c>
      <c r="B8" s="4"/>
    </row>
    <row r="9" spans="1:5" ht="17" x14ac:dyDescent="0.2">
      <c r="A9" s="20" t="s">
        <v>163</v>
      </c>
      <c r="B9" s="31" t="s">
        <v>164</v>
      </c>
      <c r="C9" s="20" t="s">
        <v>165</v>
      </c>
      <c r="D9" s="20" t="s">
        <v>159</v>
      </c>
      <c r="E9" s="20" t="s">
        <v>160</v>
      </c>
    </row>
    <row r="10" spans="1:5" x14ac:dyDescent="0.2">
      <c r="A10" t="s">
        <v>166</v>
      </c>
      <c r="B10" s="4">
        <v>10</v>
      </c>
      <c r="C10" s="15">
        <f>Optimization!$B$5</f>
        <v>10</v>
      </c>
      <c r="D10" s="15">
        <f>$C10-$B10</f>
        <v>0</v>
      </c>
      <c r="E10" t="str">
        <f>IF(ROUND($D10,2)=0,"PASS","FAIL")</f>
        <v>PASS</v>
      </c>
    </row>
    <row r="11" spans="1:5" x14ac:dyDescent="0.2">
      <c r="A11" t="s">
        <v>167</v>
      </c>
      <c r="B11" s="4">
        <v>20</v>
      </c>
      <c r="C11" s="15">
        <f>Optimization!$B$6</f>
        <v>20</v>
      </c>
      <c r="D11" s="15">
        <f t="shared" ref="D11:D13" si="0">$C11-$B11</f>
        <v>0</v>
      </c>
      <c r="E11" t="str">
        <f t="shared" ref="E11:E12" si="1">IF(ROUND($D11,2)=0,"PASS","FAIL")</f>
        <v>PASS</v>
      </c>
    </row>
    <row r="12" spans="1:5" x14ac:dyDescent="0.2">
      <c r="A12" t="s">
        <v>168</v>
      </c>
      <c r="B12" s="4">
        <v>30</v>
      </c>
      <c r="C12" s="15">
        <f>Optimization!$B$7</f>
        <v>30</v>
      </c>
      <c r="D12" s="15">
        <f t="shared" si="0"/>
        <v>0</v>
      </c>
      <c r="E12" t="str">
        <f t="shared" si="1"/>
        <v>PASS</v>
      </c>
    </row>
    <row r="13" spans="1:5" x14ac:dyDescent="0.2">
      <c r="A13" t="s">
        <v>112</v>
      </c>
      <c r="B13" s="32">
        <v>42762</v>
      </c>
      <c r="C13" s="29">
        <f>Optimization!$B$22</f>
        <v>42761.664682745002</v>
      </c>
      <c r="D13" s="29">
        <f t="shared" si="0"/>
        <v>-0.33531725499778986</v>
      </c>
      <c r="E13" t="str">
        <f>IF(ABS($D$13)&lt;=5,"PASS","FAIL")</f>
        <v>PASS</v>
      </c>
    </row>
    <row r="15" spans="1:5" x14ac:dyDescent="0.2">
      <c r="A15" s="1" t="s">
        <v>169</v>
      </c>
    </row>
    <row r="16" spans="1:5" ht="17" x14ac:dyDescent="0.2">
      <c r="A16" s="20" t="s">
        <v>170</v>
      </c>
      <c r="B16" s="20" t="s">
        <v>171</v>
      </c>
      <c r="C16" s="20" t="s">
        <v>172</v>
      </c>
      <c r="D16" s="20" t="s">
        <v>173</v>
      </c>
      <c r="E16" s="20" t="s">
        <v>160</v>
      </c>
    </row>
    <row r="17" spans="1:5" x14ac:dyDescent="0.2">
      <c r="A17" t="s">
        <v>174</v>
      </c>
      <c r="B17">
        <f>BED_CAP_TOMATO</f>
        <v>20</v>
      </c>
      <c r="C17" s="15">
        <f>Optimization!$B$5</f>
        <v>10</v>
      </c>
      <c r="D17" s="15">
        <f>$B17-$C17</f>
        <v>10</v>
      </c>
      <c r="E17" t="str">
        <f>IF($C17&lt;=$B17,"SATISFIED","VIOLATED")</f>
        <v>SATISFIED</v>
      </c>
    </row>
    <row r="18" spans="1:5" x14ac:dyDescent="0.2">
      <c r="A18" t="s">
        <v>175</v>
      </c>
      <c r="B18">
        <f>BED_CAP_CARROT</f>
        <v>20</v>
      </c>
      <c r="C18" s="15">
        <f>Optimization!$B$6</f>
        <v>20</v>
      </c>
      <c r="D18" s="15">
        <f t="shared" ref="D18:D21" si="2">$B18-$C18</f>
        <v>0</v>
      </c>
      <c r="E18" t="str">
        <f t="shared" ref="E18:E21" si="3">IF($C18&lt;=$B18,"SATISFIED","VIOLATED")</f>
        <v>SATISFIED</v>
      </c>
    </row>
    <row r="19" spans="1:5" x14ac:dyDescent="0.2">
      <c r="A19" t="s">
        <v>176</v>
      </c>
      <c r="B19">
        <f>BED_CAP_MESCLUN</f>
        <v>30</v>
      </c>
      <c r="C19" s="15">
        <f>Optimization!$B$7</f>
        <v>30</v>
      </c>
      <c r="D19" s="15">
        <f t="shared" si="2"/>
        <v>0</v>
      </c>
      <c r="E19" t="str">
        <f t="shared" si="3"/>
        <v>SATISFIED</v>
      </c>
    </row>
    <row r="20" spans="1:5" x14ac:dyDescent="0.2">
      <c r="A20" t="s">
        <v>177</v>
      </c>
      <c r="B20">
        <f>TOTAL_BEDS</f>
        <v>64</v>
      </c>
      <c r="C20" s="15">
        <f>Optimization!$B$8</f>
        <v>60</v>
      </c>
      <c r="D20" s="15">
        <f t="shared" si="2"/>
        <v>4</v>
      </c>
      <c r="E20" t="str">
        <f t="shared" si="3"/>
        <v>SATISFIED</v>
      </c>
    </row>
    <row r="21" spans="1:5" x14ac:dyDescent="0.2">
      <c r="A21" t="s">
        <v>178</v>
      </c>
      <c r="B21">
        <f>TEMP_WORKERS_MAX</f>
        <v>4</v>
      </c>
      <c r="C21" s="16">
        <f>Optimization!$B$12</f>
        <v>3.1647334126901998</v>
      </c>
      <c r="D21" s="16">
        <f t="shared" si="2"/>
        <v>0.83526658730980019</v>
      </c>
      <c r="E21" t="str">
        <f t="shared" si="3"/>
        <v>SATISFIED</v>
      </c>
    </row>
    <row r="23" spans="1:5" x14ac:dyDescent="0.2">
      <c r="A23" s="1" t="s">
        <v>179</v>
      </c>
    </row>
    <row r="24" spans="1:5" ht="17" x14ac:dyDescent="0.2">
      <c r="A24" s="20" t="s">
        <v>156</v>
      </c>
      <c r="B24" s="20" t="s">
        <v>180</v>
      </c>
      <c r="C24" s="20" t="s">
        <v>165</v>
      </c>
      <c r="D24" s="20" t="s">
        <v>159</v>
      </c>
      <c r="E24" s="20" t="s">
        <v>160</v>
      </c>
    </row>
    <row r="25" spans="1:5" x14ac:dyDescent="0.2">
      <c r="A25" t="s">
        <v>181</v>
      </c>
      <c r="B25">
        <v>0</v>
      </c>
      <c r="C25" cm="1">
        <f t="array" ref="C25">SUMPRODUCT(--ISERROR(Labor!$B$5:$D$36))+SUMPRODUCT(--ISERROR(Labor!$H$4:$H$19))+SUMPRODUCT(--ISERROR(Cost!$B$5:$L$25))+SUMPRODUCT(--ISERROR(Cost!$B$29:$L$49))+SUMPRODUCT(--ISERROR(Cost!$B$53:$L$83))+SUMPRODUCT(--ISERROR(Cost!$O$5:$V$26))+SUMPRODUCT(--ISERROR(Cost!$O$29:$V$50))+SUMPRODUCT(--ISERROR(Cost!$O$53:$V$84))+SUMPRODUCT(--ISERROR(Optimization!$B$8:$D$8))+SUMPRODUCT(--ISERROR(Optimization!$C$5:$D$7))+SUMPRODUCT(--ISERROR(Optimization!$B$11:$B$15))+SUMPRODUCT(--ISERROR(Optimization!$B$18:$B$22))+SUMPRODUCT(--ISERROR(Optimization!$B$26:$E$28))+SUMPRODUCT(--ISERROR(Optimization!$B$32:$E$34))</f>
        <v>0</v>
      </c>
      <c r="D25">
        <f>$C25-$B25</f>
        <v>0</v>
      </c>
      <c r="E25" t="str">
        <f>IF($C25=$B25,"PASS","FAIL")</f>
        <v>PASS</v>
      </c>
    </row>
    <row r="26" spans="1:5" x14ac:dyDescent="0.2">
      <c r="A26" t="s">
        <v>182</v>
      </c>
      <c r="B26">
        <v>0</v>
      </c>
      <c r="C26" cm="1">
        <f t="array" ref="C26">SUMPRODUCT(--NOT(_xlfn.ISFORMULA(Labor!$B$5:$D$36)))+SUMPRODUCT(--NOT(_xlfn.ISFORMULA(Labor!$H$4:$H$19)))+SUMPRODUCT(--NOT(_xlfn.ISFORMULA(Cost!$B$5:$L$25)))+SUMPRODUCT(--NOT(_xlfn.ISFORMULA(Cost!$B$29:$L$49)))+SUMPRODUCT(--NOT(_xlfn.ISFORMULA(Cost!$B$53:$L$83)))+SUMPRODUCT(--NOT(_xlfn.ISFORMULA(Cost!$O$5:$V$26)))+SUMPRODUCT(--NOT(_xlfn.ISFORMULA(Cost!$O$29:$V$50)))+SUMPRODUCT(--NOT(_xlfn.ISFORMULA(Cost!$O$53:$V$84)))+SUMPRODUCT(--NOT(_xlfn.ISFORMULA(Optimization!$B$8:$D$8)))+SUMPRODUCT(--NOT(_xlfn.ISFORMULA(Optimization!$C$5:$D$7)))+SUMPRODUCT(--NOT(_xlfn.ISFORMULA(Optimization!$B$11:$B$15)))+SUMPRODUCT(--NOT(_xlfn.ISFORMULA(Optimization!$B$18:$B$22)))+SUMPRODUCT(--NOT(_xlfn.ISFORMULA(Optimization!$B$26:$E$28)))+SUMPRODUCT(--NOT(_xlfn.ISFORMULA(Optimization!$B$32:$E$34)))</f>
        <v>0</v>
      </c>
      <c r="D26">
        <f>$C26-$B26</f>
        <v>0</v>
      </c>
      <c r="E26" t="str">
        <f>IF($C26=$B26,"PASS","FAIL")</f>
        <v>PASS</v>
      </c>
    </row>
    <row r="28" spans="1:5" x14ac:dyDescent="0.2">
      <c r="A28" s="1" t="s">
        <v>183</v>
      </c>
    </row>
    <row r="29" spans="1:5" x14ac:dyDescent="0.2">
      <c r="A29" s="1" t="s">
        <v>184</v>
      </c>
      <c r="B29" s="1" t="str">
        <f>IF(AND(COUNTIF($E$6,"FAIL")=0,COUNTIF($E$10:$E$13,"FAIL")=0,COUNTIF($E$17:$E$21,"VIOLATED")=0,COUNTIF($E$25:$E$26,"FAIL")=0),"ALL PASS","SEE FAILURES ABOVE")</f>
        <v>ALL PASS</v>
      </c>
    </row>
  </sheetData>
  <conditionalFormatting sqref="B29">
    <cfRule type="containsText" dxfId="29" priority="30" operator="containsText" text="SEE FAILURES">
      <formula>NOT(ISERROR(SEARCH("SEE FAILURES",B29)))</formula>
    </cfRule>
    <cfRule type="containsText" dxfId="28" priority="29" operator="containsText" text="VIOLATED">
      <formula>NOT(ISERROR(SEARCH("VIOLATED",B29)))</formula>
    </cfRule>
    <cfRule type="containsText" dxfId="27" priority="28" operator="containsText" text="FAIL">
      <formula>NOT(ISERROR(SEARCH("FAIL",B29)))</formula>
    </cfRule>
    <cfRule type="containsText" dxfId="26" priority="27" operator="containsText" text="ALL PASS">
      <formula>NOT(ISERROR(SEARCH("ALL PASS",B29)))</formula>
    </cfRule>
    <cfRule type="containsText" dxfId="25" priority="26" operator="containsText" text="SATISFIED">
      <formula>NOT(ISERROR(SEARCH("SATISFIED",B29)))</formula>
    </cfRule>
    <cfRule type="containsText" dxfId="24" priority="25" operator="containsText" text="PASS">
      <formula>NOT(ISERROR(SEARCH("PASS",B29)))</formula>
    </cfRule>
  </conditionalFormatting>
  <conditionalFormatting sqref="E6">
    <cfRule type="containsText" dxfId="23" priority="1" operator="containsText" text="PASS">
      <formula>NOT(ISERROR(SEARCH("PASS",E6)))</formula>
    </cfRule>
    <cfRule type="containsText" dxfId="22" priority="6" operator="containsText" text="SEE FAILURES">
      <formula>NOT(ISERROR(SEARCH("SEE FAILURES",E6)))</formula>
    </cfRule>
    <cfRule type="containsText" dxfId="21" priority="5" operator="containsText" text="VIOLATED">
      <formula>NOT(ISERROR(SEARCH("VIOLATED",E6)))</formula>
    </cfRule>
    <cfRule type="containsText" dxfId="20" priority="4" operator="containsText" text="FAIL">
      <formula>NOT(ISERROR(SEARCH("FAIL",E6)))</formula>
    </cfRule>
    <cfRule type="containsText" dxfId="19" priority="3" operator="containsText" text="ALL PASS">
      <formula>NOT(ISERROR(SEARCH("ALL PASS",E6)))</formula>
    </cfRule>
    <cfRule type="containsText" dxfId="18" priority="2" operator="containsText" text="SATISFIED">
      <formula>NOT(ISERROR(SEARCH("SATISFIED",E6)))</formula>
    </cfRule>
  </conditionalFormatting>
  <conditionalFormatting sqref="E10:E13">
    <cfRule type="containsText" dxfId="17" priority="8" operator="containsText" text="SATISFIED">
      <formula>NOT(ISERROR(SEARCH("SATISFIED",E10)))</formula>
    </cfRule>
    <cfRule type="containsText" dxfId="16" priority="9" operator="containsText" text="ALL PASS">
      <formula>NOT(ISERROR(SEARCH("ALL PASS",E10)))</formula>
    </cfRule>
    <cfRule type="containsText" dxfId="15" priority="10" operator="containsText" text="FAIL">
      <formula>NOT(ISERROR(SEARCH("FAIL",E10)))</formula>
    </cfRule>
    <cfRule type="containsText" dxfId="14" priority="11" operator="containsText" text="VIOLATED">
      <formula>NOT(ISERROR(SEARCH("VIOLATED",E10)))</formula>
    </cfRule>
    <cfRule type="containsText" dxfId="13" priority="12" operator="containsText" text="SEE FAILURES">
      <formula>NOT(ISERROR(SEARCH("SEE FAILURES",E10)))</formula>
    </cfRule>
    <cfRule type="containsText" dxfId="12" priority="7" operator="containsText" text="PASS">
      <formula>NOT(ISERROR(SEARCH("PASS",E10)))</formula>
    </cfRule>
  </conditionalFormatting>
  <conditionalFormatting sqref="E17:E21">
    <cfRule type="containsText" dxfId="11" priority="13" operator="containsText" text="PASS">
      <formula>NOT(ISERROR(SEARCH("PASS",E17)))</formula>
    </cfRule>
    <cfRule type="containsText" dxfId="10" priority="14" operator="containsText" text="SATISFIED">
      <formula>NOT(ISERROR(SEARCH("SATISFIED",E17)))</formula>
    </cfRule>
    <cfRule type="containsText" dxfId="9" priority="15" operator="containsText" text="ALL PASS">
      <formula>NOT(ISERROR(SEARCH("ALL PASS",E17)))</formula>
    </cfRule>
    <cfRule type="containsText" dxfId="8" priority="17" operator="containsText" text="VIOLATED">
      <formula>NOT(ISERROR(SEARCH("VIOLATED",E17)))</formula>
    </cfRule>
    <cfRule type="containsText" dxfId="7" priority="18" operator="containsText" text="SEE FAILURES">
      <formula>NOT(ISERROR(SEARCH("SEE FAILURES",E17)))</formula>
    </cfRule>
    <cfRule type="containsText" dxfId="6" priority="16" operator="containsText" text="FAIL">
      <formula>NOT(ISERROR(SEARCH("FAIL",E17)))</formula>
    </cfRule>
  </conditionalFormatting>
  <conditionalFormatting sqref="E25:E26">
    <cfRule type="containsText" dxfId="5" priority="19" operator="containsText" text="PASS">
      <formula>NOT(ISERROR(SEARCH("PASS",E25)))</formula>
    </cfRule>
    <cfRule type="containsText" dxfId="4" priority="20" operator="containsText" text="SATISFIED">
      <formula>NOT(ISERROR(SEARCH("SATISFIED",E25)))</formula>
    </cfRule>
    <cfRule type="containsText" dxfId="3" priority="21" operator="containsText" text="ALL PASS">
      <formula>NOT(ISERROR(SEARCH("ALL PASS",E25)))</formula>
    </cfRule>
    <cfRule type="containsText" dxfId="2" priority="22" operator="containsText" text="FAIL">
      <formula>NOT(ISERROR(SEARCH("FAIL",E25)))</formula>
    </cfRule>
    <cfRule type="containsText" dxfId="1" priority="23" operator="containsText" text="VIOLATED">
      <formula>NOT(ISERROR(SEARCH("VIOLATED",E25)))</formula>
    </cfRule>
    <cfRule type="containsText" dxfId="0" priority="24" operator="containsText" text="SEE FAILURES">
      <formula>NOT(ISERROR(SEARCH("SEE FAILURES",E25)))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25</vt:i4>
      </vt:variant>
    </vt:vector>
  </HeadingPairs>
  <TitlesOfParts>
    <vt:vector size="30" baseType="lpstr">
      <vt:lpstr>Inputs</vt:lpstr>
      <vt:lpstr>Labor</vt:lpstr>
      <vt:lpstr>Cost</vt:lpstr>
      <vt:lpstr>Optimization</vt:lpstr>
      <vt:lpstr>Checks</vt:lpstr>
      <vt:lpstr>BED_CAP_CARROT</vt:lpstr>
      <vt:lpstr>BED_CAP_MESCLUN</vt:lpstr>
      <vt:lpstr>BED_CAP_TOMATO</vt:lpstr>
      <vt:lpstr>DIM_PCT_CARROT</vt:lpstr>
      <vt:lpstr>DIM_PCT_MESCLUN</vt:lpstr>
      <vt:lpstr>DIM_PCT_TOMATO</vt:lpstr>
      <vt:lpstr>FARMER_HOURS</vt:lpstr>
      <vt:lpstr>FARMER_WAGE</vt:lpstr>
      <vt:lpstr>FERT_CARROT</vt:lpstr>
      <vt:lpstr>FERT_MESCLUN</vt:lpstr>
      <vt:lpstr>FERT_TOMATO</vt:lpstr>
      <vt:lpstr>FIXED_COST</vt:lpstr>
      <vt:lpstr>HRS_PER_BED_CARROT</vt:lpstr>
      <vt:lpstr>HRS_PER_BED_MESCLUN</vt:lpstr>
      <vt:lpstr>HRS_PER_BED_TOMATO</vt:lpstr>
      <vt:lpstr>LABOR_MODE</vt:lpstr>
      <vt:lpstr>PRICE_CARROT</vt:lpstr>
      <vt:lpstr>PRICE_MESCLUN</vt:lpstr>
      <vt:lpstr>PRICE_TOMATO</vt:lpstr>
      <vt:lpstr>PROFIT</vt:lpstr>
      <vt:lpstr>TEMP_HOURS_PER_WORKER</vt:lpstr>
      <vt:lpstr>TEMP_WAGE</vt:lpstr>
      <vt:lpstr>TEMP_WORKERS_MAX</vt:lpstr>
      <vt:lpstr>TOTAL_BEDS</vt:lpstr>
      <vt:lpstr>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Ethel Sumibcay</dc:creator>
  <cp:lastModifiedBy>Ethel Sumibcay</cp:lastModifiedBy>
  <dcterms:created xsi:type="dcterms:W3CDTF">2026-08-30T04:15:09Z</dcterms:created>
  <dcterms:modified xsi:type="dcterms:W3CDTF">2026-09-01T05:06:21Z</dcterms:modified>
</cp:coreProperties>
</file>