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sumibcay/Desktop/DLEMBA - 8/BUS 620 Economics Foundation for Managers/"/>
    </mc:Choice>
  </mc:AlternateContent>
  <xr:revisionPtr revIDLastSave="0" documentId="8_{5CA4BCA5-153E-CE45-BD6A-DAA6AC2D2D10}" xr6:coauthVersionLast="47" xr6:coauthVersionMax="47" xr10:uidLastSave="{00000000-0000-0000-0000-000000000000}"/>
  <bookViews>
    <workbookView xWindow="29400" yWindow="-3900" windowWidth="38400" windowHeight="24000" activeTab="2" xr2:uid="{40CFC20B-08C8-8047-A0F6-0E48F752943F}"/>
  </bookViews>
  <sheets>
    <sheet name="Inputs" sheetId="2" r:id="rId1"/>
    <sheet name="Labor" sheetId="3" r:id="rId2"/>
    <sheet name="Cost" sheetId="4" r:id="rId3"/>
    <sheet name="Optimization" sheetId="5" r:id="rId4"/>
    <sheet name="Checks" sheetId="6" r:id="rId5"/>
  </sheets>
  <definedNames>
    <definedName name="BED_CAP_CARROT">Inputs!$C$17</definedName>
    <definedName name="BED_CAP_MESCLUN">Inputs!$C$22</definedName>
    <definedName name="BED_CAP_TOMATO">Inputs!$C$12</definedName>
    <definedName name="DIM_PCT_CARROT">Inputs!$C$21</definedName>
    <definedName name="DIM_PCT_MESCLUN">Inputs!$C$26</definedName>
    <definedName name="DIM_PCT_TOMATO">Inputs!$C$16</definedName>
    <definedName name="FARMER_HOURS">Inputs!$C$7</definedName>
    <definedName name="FARMER_WAGE">Inputs!$C$8</definedName>
    <definedName name="FERT_CARROT">Inputs!$C$20</definedName>
    <definedName name="FERT_MESCLUN">Inputs!$C$25</definedName>
    <definedName name="FERT_TOMATO">Inputs!$C$15</definedName>
    <definedName name="FIXED_COST">Inputs!$C$6</definedName>
    <definedName name="HRS_PER_BED_CARROT">Inputs!$C$19</definedName>
    <definedName name="HRS_PER_BED_MESCLUN">Inputs!$C$24</definedName>
    <definedName name="HRS_PER_BED_TOMATO">Inputs!$C$14</definedName>
    <definedName name="LABOR_MODE">Inputs!$C$28</definedName>
    <definedName name="PRICE_CARROT">Inputs!$C$18</definedName>
    <definedName name="PRICE_MESCLUN">Inputs!$C$23</definedName>
    <definedName name="PRICE_TOMATO">Inputs!$C$13</definedName>
    <definedName name="PROFIT">Optimization!$B$22</definedName>
    <definedName name="solver_adj" localSheetId="3" hidden="1">Optimization!$B$5:$B$7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itr" localSheetId="3" hidden="1">2147483647</definedName>
    <definedName name="solver_lhs1" localSheetId="3" hidden="1">Optimization!$B$12</definedName>
    <definedName name="solver_lhs2" localSheetId="3" hidden="1">Optimization!$B$5</definedName>
    <definedName name="solver_lhs3" localSheetId="3" hidden="1">Optimization!$B$5:$B$7</definedName>
    <definedName name="solver_lhs4" localSheetId="3" hidden="1">Optimization!$B$6</definedName>
    <definedName name="solver_lhs5" localSheetId="3" hidden="1">Optimization!$B$7</definedName>
    <definedName name="solver_lhs6" localSheetId="3" hidden="1">Optimization!$B$8</definedName>
    <definedName name="solver_lin" localSheetId="3" hidden="1">2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6</definedName>
    <definedName name="solver_opt" localSheetId="3" hidden="1">Optimization!$B$22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el2" localSheetId="3" hidden="1">1</definedName>
    <definedName name="solver_rel3" localSheetId="3" hidden="1">4</definedName>
    <definedName name="solver_rel4" localSheetId="3" hidden="1">1</definedName>
    <definedName name="solver_rel5" localSheetId="3" hidden="1">1</definedName>
    <definedName name="solver_rel6" localSheetId="3" hidden="1">1</definedName>
    <definedName name="solver_rhs1" localSheetId="3" hidden="1">4</definedName>
    <definedName name="solver_rhs2" localSheetId="3" hidden="1">20</definedName>
    <definedName name="solver_rhs3" localSheetId="3" hidden="1">"integer"</definedName>
    <definedName name="solver_rhs4" localSheetId="3" hidden="1">20</definedName>
    <definedName name="solver_rhs5" localSheetId="3" hidden="1">30</definedName>
    <definedName name="solver_rhs6" localSheetId="3" hidden="1">64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2</definedName>
    <definedName name="TEMP_HOURS_PER_WORKER">Inputs!$C$10</definedName>
    <definedName name="TEMP_WAGE">Inputs!$C$11</definedName>
    <definedName name="TEMP_WORKERS_MAX">Inputs!$C$9</definedName>
    <definedName name="TOTAL_BEDS">Inputs!$C$5</definedName>
    <definedName name="WEEKS">Inputs!$C$4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6" i="6" l="1" a="1"/>
  <c r="C17" i="6"/>
  <c r="C18" i="6"/>
  <c r="C19" i="6"/>
  <c r="B17" i="6"/>
  <c r="B18" i="6"/>
  <c r="B19" i="6"/>
  <c r="B20" i="6"/>
  <c r="B21" i="6"/>
  <c r="C10" i="6"/>
  <c r="D10" i="6" s="1"/>
  <c r="E10" i="6" s="1"/>
  <c r="C11" i="6"/>
  <c r="D11" i="6" s="1"/>
  <c r="E11" i="6" s="1"/>
  <c r="C12" i="6"/>
  <c r="D12" i="6" s="1"/>
  <c r="E12" i="6" s="1"/>
  <c r="E6" i="6"/>
  <c r="D6" i="6"/>
  <c r="C6" i="6"/>
  <c r="B6" i="6"/>
  <c r="A2" i="6"/>
  <c r="E26" i="5" a="1"/>
  <c r="E27" i="5" a="1"/>
  <c r="E28" i="5" a="1"/>
  <c r="D26" i="5" a="1"/>
  <c r="D27" i="5" a="1"/>
  <c r="D28" i="5" a="1"/>
  <c r="B26" i="5"/>
  <c r="C26" i="5" s="1" a="1"/>
  <c r="B27" i="5"/>
  <c r="C27" i="5" s="1" a="1"/>
  <c r="B28" i="5"/>
  <c r="C28" i="5" s="1" a="1"/>
  <c r="C32" i="5"/>
  <c r="D32" i="5" s="1"/>
  <c r="C33" i="5"/>
  <c r="D33" i="5" s="1"/>
  <c r="C34" i="5"/>
  <c r="D34" i="5" s="1"/>
  <c r="B32" i="5"/>
  <c r="B33" i="5"/>
  <c r="B34" i="5"/>
  <c r="B18" i="5"/>
  <c r="B20" i="5"/>
  <c r="B21" i="5"/>
  <c r="C12" i="5"/>
  <c r="B15" i="5"/>
  <c r="D5" i="5"/>
  <c r="D6" i="5"/>
  <c r="D7" i="5"/>
  <c r="C8" i="5"/>
  <c r="B8" i="5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53" i="4"/>
  <c r="T53" i="4"/>
  <c r="U53" i="4"/>
  <c r="V53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29" i="4"/>
  <c r="T29" i="4"/>
  <c r="U29" i="4"/>
  <c r="V29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5" i="4"/>
  <c r="T5" i="4"/>
  <c r="U5" i="4"/>
  <c r="V5" i="4"/>
  <c r="B54" i="4" a="1"/>
  <c r="C54" i="4"/>
  <c r="D54" i="4"/>
  <c r="E54" i="4"/>
  <c r="F54" i="4"/>
  <c r="G54" i="4"/>
  <c r="H54" i="4"/>
  <c r="I54" i="4"/>
  <c r="J54" i="4"/>
  <c r="K54" i="4"/>
  <c r="L54" i="4"/>
  <c r="B55" i="4" a="1"/>
  <c r="C55" i="4"/>
  <c r="D55" i="4"/>
  <c r="E55" i="4" s="1"/>
  <c r="G55" i="4"/>
  <c r="H55" i="4"/>
  <c r="B56" i="4" a="1"/>
  <c r="C56" i="4"/>
  <c r="D56" i="4"/>
  <c r="E56" i="4"/>
  <c r="F56" i="4"/>
  <c r="G56" i="4"/>
  <c r="H56" i="4"/>
  <c r="L56" i="4"/>
  <c r="B57" i="4" a="1"/>
  <c r="G57" i="4"/>
  <c r="H57" i="4"/>
  <c r="B58" i="4" a="1"/>
  <c r="C58" i="4"/>
  <c r="D58" i="4"/>
  <c r="E58" i="4"/>
  <c r="G58" i="4"/>
  <c r="H58" i="4"/>
  <c r="L58" i="4"/>
  <c r="B59" i="4" a="1"/>
  <c r="C59" i="4" s="1"/>
  <c r="E59" i="4" s="1"/>
  <c r="D59" i="4"/>
  <c r="G59" i="4"/>
  <c r="H59" i="4"/>
  <c r="B60" i="4" a="1"/>
  <c r="C60" i="4" s="1"/>
  <c r="E60" i="4" s="1"/>
  <c r="D60" i="4"/>
  <c r="G60" i="4"/>
  <c r="H60" i="4"/>
  <c r="L60" i="4" s="1"/>
  <c r="B61" i="4" a="1"/>
  <c r="C61" i="4"/>
  <c r="D61" i="4"/>
  <c r="E61" i="4"/>
  <c r="F61" i="4"/>
  <c r="G61" i="4"/>
  <c r="H61" i="4"/>
  <c r="L61" i="4"/>
  <c r="B62" i="4" a="1"/>
  <c r="C62" i="4"/>
  <c r="D62" i="4"/>
  <c r="E62" i="4"/>
  <c r="F62" i="4"/>
  <c r="G62" i="4"/>
  <c r="H62" i="4"/>
  <c r="I62" i="4"/>
  <c r="J62" i="4"/>
  <c r="K62" i="4"/>
  <c r="L62" i="4"/>
  <c r="B63" i="4" a="1"/>
  <c r="C63" i="4"/>
  <c r="D63" i="4"/>
  <c r="E63" i="4"/>
  <c r="F63" i="4"/>
  <c r="G63" i="4"/>
  <c r="H63" i="4"/>
  <c r="I63" i="4"/>
  <c r="J63" i="4"/>
  <c r="K63" i="4"/>
  <c r="L63" i="4"/>
  <c r="B64" i="4" a="1"/>
  <c r="C64" i="4"/>
  <c r="D64" i="4"/>
  <c r="E64" i="4"/>
  <c r="F64" i="4"/>
  <c r="G64" i="4"/>
  <c r="H64" i="4"/>
  <c r="I64" i="4"/>
  <c r="J64" i="4"/>
  <c r="K64" i="4"/>
  <c r="L64" i="4"/>
  <c r="B65" i="4" a="1"/>
  <c r="C65" i="4"/>
  <c r="E65" i="4" s="1"/>
  <c r="D65" i="4"/>
  <c r="G65" i="4"/>
  <c r="H65" i="4"/>
  <c r="B66" i="4" a="1"/>
  <c r="D66" i="4" s="1"/>
  <c r="E66" i="4" s="1"/>
  <c r="C66" i="4"/>
  <c r="G66" i="4"/>
  <c r="H66" i="4"/>
  <c r="B67" i="4" a="1"/>
  <c r="C67" i="4"/>
  <c r="E67" i="4" s="1"/>
  <c r="D67" i="4"/>
  <c r="G67" i="4"/>
  <c r="H67" i="4"/>
  <c r="B68" i="4" a="1"/>
  <c r="G68" i="4"/>
  <c r="H68" i="4"/>
  <c r="B69" i="4" a="1"/>
  <c r="D69" i="4" s="1"/>
  <c r="C69" i="4"/>
  <c r="E69" i="4" s="1"/>
  <c r="G69" i="4"/>
  <c r="H69" i="4"/>
  <c r="B70" i="4" a="1"/>
  <c r="D70" i="4" s="1"/>
  <c r="C70" i="4"/>
  <c r="G70" i="4"/>
  <c r="H70" i="4"/>
  <c r="B71" i="4" a="1"/>
  <c r="D71" i="4" s="1"/>
  <c r="C71" i="4"/>
  <c r="E71" i="4" s="1"/>
  <c r="G71" i="4"/>
  <c r="H71" i="4"/>
  <c r="B72" i="4" a="1"/>
  <c r="D72" i="4" s="1"/>
  <c r="C72" i="4"/>
  <c r="E72" i="4" s="1"/>
  <c r="G72" i="4"/>
  <c r="H72" i="4"/>
  <c r="L72" i="4" s="1"/>
  <c r="B73" i="4" a="1"/>
  <c r="D73" i="4" s="1"/>
  <c r="C73" i="4"/>
  <c r="E73" i="4" s="1"/>
  <c r="G73" i="4"/>
  <c r="H73" i="4"/>
  <c r="B74" i="4" a="1"/>
  <c r="G74" i="4"/>
  <c r="H74" i="4"/>
  <c r="B75" i="4" a="1"/>
  <c r="G75" i="4"/>
  <c r="H75" i="4"/>
  <c r="B76" i="4" a="1"/>
  <c r="G76" i="4"/>
  <c r="H76" i="4"/>
  <c r="B77" i="4" a="1"/>
  <c r="D77" i="4" s="1"/>
  <c r="C77" i="4"/>
  <c r="E77" i="4" s="1"/>
  <c r="G77" i="4"/>
  <c r="H77" i="4"/>
  <c r="B78" i="4" a="1"/>
  <c r="G78" i="4"/>
  <c r="H78" i="4"/>
  <c r="B79" i="4" a="1"/>
  <c r="G79" i="4"/>
  <c r="H79" i="4"/>
  <c r="B80" i="4" a="1"/>
  <c r="C80" i="4"/>
  <c r="D80" i="4"/>
  <c r="E80" i="4"/>
  <c r="G80" i="4"/>
  <c r="H80" i="4"/>
  <c r="B81" i="4" a="1"/>
  <c r="G81" i="4"/>
  <c r="H81" i="4"/>
  <c r="B82" i="4" a="1"/>
  <c r="D82" i="4" s="1"/>
  <c r="C82" i="4"/>
  <c r="E82" i="4" s="1"/>
  <c r="G82" i="4"/>
  <c r="H82" i="4"/>
  <c r="B83" i="4" a="1"/>
  <c r="G83" i="4"/>
  <c r="H83" i="4"/>
  <c r="B53" i="4" a="1"/>
  <c r="C53" i="4"/>
  <c r="D53" i="4"/>
  <c r="E53" i="4"/>
  <c r="F53" i="4"/>
  <c r="G53" i="4"/>
  <c r="H53" i="4"/>
  <c r="I53" i="4"/>
  <c r="J53" i="4"/>
  <c r="K53" i="4"/>
  <c r="L53" i="4"/>
  <c r="B30" i="4" a="1"/>
  <c r="C30" i="4"/>
  <c r="D30" i="4"/>
  <c r="E30" i="4"/>
  <c r="F30" i="4"/>
  <c r="G30" i="4"/>
  <c r="H30" i="4"/>
  <c r="I30" i="4"/>
  <c r="J30" i="4"/>
  <c r="K30" i="4"/>
  <c r="L30" i="4"/>
  <c r="B31" i="4" a="1"/>
  <c r="C31" i="4"/>
  <c r="D31" i="4"/>
  <c r="E31" i="4"/>
  <c r="F31" i="4"/>
  <c r="G31" i="4"/>
  <c r="H31" i="4"/>
  <c r="I31" i="4"/>
  <c r="J31" i="4"/>
  <c r="K31" i="4"/>
  <c r="L31" i="4"/>
  <c r="B32" i="4" a="1"/>
  <c r="C32" i="4"/>
  <c r="D32" i="4"/>
  <c r="E32" i="4"/>
  <c r="F32" i="4"/>
  <c r="G32" i="4"/>
  <c r="H32" i="4"/>
  <c r="I32" i="4"/>
  <c r="J32" i="4"/>
  <c r="K32" i="4" s="1"/>
  <c r="L32" i="4"/>
  <c r="B33" i="4" a="1"/>
  <c r="C33" i="4"/>
  <c r="E33" i="4" s="1"/>
  <c r="D33" i="4"/>
  <c r="G33" i="4"/>
  <c r="H33" i="4"/>
  <c r="B34" i="4" a="1"/>
  <c r="F34" i="4" s="1"/>
  <c r="C34" i="4"/>
  <c r="D34" i="4"/>
  <c r="E34" i="4"/>
  <c r="G34" i="4"/>
  <c r="H34" i="4"/>
  <c r="B35" i="4" a="1"/>
  <c r="C35" i="4"/>
  <c r="D35" i="4"/>
  <c r="E35" i="4"/>
  <c r="F35" i="4"/>
  <c r="G35" i="4"/>
  <c r="H35" i="4"/>
  <c r="L35" i="4"/>
  <c r="B36" i="4" a="1"/>
  <c r="C36" i="4"/>
  <c r="D36" i="4"/>
  <c r="E36" i="4"/>
  <c r="F36" i="4"/>
  <c r="G36" i="4"/>
  <c r="H36" i="4"/>
  <c r="I36" i="4"/>
  <c r="J36" i="4"/>
  <c r="K36" i="4"/>
  <c r="L36" i="4"/>
  <c r="B37" i="4" a="1"/>
  <c r="C37" i="4"/>
  <c r="D37" i="4"/>
  <c r="E37" i="4"/>
  <c r="F37" i="4"/>
  <c r="G37" i="4"/>
  <c r="H37" i="4"/>
  <c r="I37" i="4"/>
  <c r="J37" i="4"/>
  <c r="K37" i="4"/>
  <c r="L37" i="4"/>
  <c r="B38" i="4" a="1"/>
  <c r="C38" i="4"/>
  <c r="D38" i="4"/>
  <c r="E38" i="4"/>
  <c r="F38" i="4" s="1"/>
  <c r="G38" i="4"/>
  <c r="H38" i="4"/>
  <c r="I38" i="4"/>
  <c r="J38" i="4"/>
  <c r="K38" i="4" s="1"/>
  <c r="L38" i="4"/>
  <c r="B39" i="4" a="1"/>
  <c r="G39" i="4"/>
  <c r="H39" i="4"/>
  <c r="B40" i="4" a="1"/>
  <c r="G40" i="4"/>
  <c r="H40" i="4"/>
  <c r="B41" i="4" a="1"/>
  <c r="D41" i="4" s="1"/>
  <c r="E41" i="4" s="1"/>
  <c r="C41" i="4"/>
  <c r="G41" i="4"/>
  <c r="H41" i="4"/>
  <c r="B42" i="4" a="1"/>
  <c r="G42" i="4"/>
  <c r="H42" i="4"/>
  <c r="B43" i="4" a="1"/>
  <c r="G43" i="4"/>
  <c r="H43" i="4"/>
  <c r="B44" i="4" a="1"/>
  <c r="D44" i="4" s="1"/>
  <c r="C44" i="4"/>
  <c r="E44" i="4" s="1"/>
  <c r="G44" i="4"/>
  <c r="H44" i="4"/>
  <c r="B45" i="4" a="1"/>
  <c r="G45" i="4"/>
  <c r="H45" i="4"/>
  <c r="B46" i="4" a="1"/>
  <c r="C46" i="4"/>
  <c r="E46" i="4" s="1"/>
  <c r="D46" i="4"/>
  <c r="G46" i="4"/>
  <c r="H46" i="4"/>
  <c r="B47" i="4" a="1"/>
  <c r="G47" i="4"/>
  <c r="H47" i="4"/>
  <c r="B48" i="4" a="1"/>
  <c r="D48" i="4" s="1"/>
  <c r="C48" i="4"/>
  <c r="E48" i="4" s="1"/>
  <c r="G48" i="4"/>
  <c r="H48" i="4"/>
  <c r="B49" i="4" a="1"/>
  <c r="G49" i="4"/>
  <c r="H49" i="4"/>
  <c r="B29" i="4" a="1"/>
  <c r="C29" i="4"/>
  <c r="D29" i="4"/>
  <c r="E29" i="4"/>
  <c r="F29" i="4"/>
  <c r="G29" i="4"/>
  <c r="H29" i="4"/>
  <c r="I29" i="4"/>
  <c r="J29" i="4"/>
  <c r="K29" i="4"/>
  <c r="L29" i="4"/>
  <c r="B6" i="4" a="1"/>
  <c r="C6" i="4"/>
  <c r="D6" i="4"/>
  <c r="E6" i="4"/>
  <c r="F6" i="4"/>
  <c r="G6" i="4"/>
  <c r="H6" i="4"/>
  <c r="I6" i="4"/>
  <c r="J6" i="4"/>
  <c r="K6" i="4" s="1"/>
  <c r="L6" i="4"/>
  <c r="B7" i="4" a="1"/>
  <c r="C7" i="4"/>
  <c r="E7" i="4" s="1"/>
  <c r="D7" i="4"/>
  <c r="G7" i="4"/>
  <c r="H7" i="4"/>
  <c r="B8" i="4" a="1"/>
  <c r="G8" i="4"/>
  <c r="H8" i="4"/>
  <c r="B9" i="4" a="1"/>
  <c r="C9" i="4"/>
  <c r="E9" i="4" s="1"/>
  <c r="D9" i="4"/>
  <c r="G9" i="4"/>
  <c r="H9" i="4"/>
  <c r="B10" i="4" a="1"/>
  <c r="C10" i="4"/>
  <c r="D10" i="4"/>
  <c r="E10" i="4"/>
  <c r="F10" i="4"/>
  <c r="G10" i="4"/>
  <c r="H10" i="4"/>
  <c r="L10" i="4"/>
  <c r="B11" i="4" a="1"/>
  <c r="C11" i="4"/>
  <c r="D11" i="4"/>
  <c r="E11" i="4"/>
  <c r="F11" i="4"/>
  <c r="G11" i="4"/>
  <c r="H11" i="4"/>
  <c r="I11" i="4"/>
  <c r="J11" i="4"/>
  <c r="K11" i="4"/>
  <c r="L11" i="4"/>
  <c r="B12" i="4" a="1"/>
  <c r="C12" i="4"/>
  <c r="D12" i="4"/>
  <c r="E12" i="4"/>
  <c r="F12" i="4"/>
  <c r="G12" i="4"/>
  <c r="H12" i="4"/>
  <c r="I12" i="4"/>
  <c r="J12" i="4"/>
  <c r="K12" i="4"/>
  <c r="L12" i="4"/>
  <c r="B13" i="4" a="1"/>
  <c r="C13" i="4"/>
  <c r="E13" i="4" s="1"/>
  <c r="D13" i="4"/>
  <c r="G13" i="4"/>
  <c r="H13" i="4"/>
  <c r="B14" i="4" a="1"/>
  <c r="D14" i="4" s="1"/>
  <c r="E14" i="4" s="1"/>
  <c r="C14" i="4"/>
  <c r="G14" i="4"/>
  <c r="H14" i="4"/>
  <c r="B15" i="4" a="1"/>
  <c r="D15" i="4" s="1"/>
  <c r="E15" i="4" s="1"/>
  <c r="C15" i="4"/>
  <c r="G15" i="4"/>
  <c r="H15" i="4"/>
  <c r="B16" i="4" a="1"/>
  <c r="G16" i="4"/>
  <c r="H16" i="4"/>
  <c r="B17" i="4" a="1"/>
  <c r="G17" i="4"/>
  <c r="H17" i="4"/>
  <c r="B18" i="4" a="1"/>
  <c r="G18" i="4"/>
  <c r="H18" i="4"/>
  <c r="B19" i="4" a="1"/>
  <c r="G19" i="4"/>
  <c r="H19" i="4"/>
  <c r="B20" i="4" a="1"/>
  <c r="G20" i="4"/>
  <c r="H20" i="4"/>
  <c r="B21" i="4" a="1"/>
  <c r="G21" i="4"/>
  <c r="H21" i="4"/>
  <c r="B22" i="4" a="1"/>
  <c r="G22" i="4"/>
  <c r="H22" i="4"/>
  <c r="B23" i="4" a="1"/>
  <c r="G23" i="4"/>
  <c r="H23" i="4"/>
  <c r="B24" i="4" a="1"/>
  <c r="D24" i="4" s="1"/>
  <c r="C24" i="4"/>
  <c r="E24" i="4" s="1"/>
  <c r="G24" i="4"/>
  <c r="H24" i="4"/>
  <c r="B25" i="4" a="1"/>
  <c r="D25" i="4" s="1"/>
  <c r="C25" i="4"/>
  <c r="E25" i="4" s="1"/>
  <c r="G25" i="4"/>
  <c r="H25" i="4"/>
  <c r="B5" i="4" a="1"/>
  <c r="G5" i="4"/>
  <c r="H5" i="4"/>
  <c r="I5" i="4"/>
  <c r="J5" i="4"/>
  <c r="K5" i="4"/>
  <c r="H4" i="3"/>
  <c r="H7" i="3" s="1"/>
  <c r="H5" i="3"/>
  <c r="H8" i="3" s="1"/>
  <c r="H6" i="3"/>
  <c r="H9" i="3" s="1"/>
  <c r="B6" i="3"/>
  <c r="C6" i="3"/>
  <c r="D6" i="3"/>
  <c r="B7" i="3"/>
  <c r="C7" i="3"/>
  <c r="D7" i="3"/>
  <c r="B8" i="3"/>
  <c r="C8" i="3"/>
  <c r="D8" i="3"/>
  <c r="B9" i="3"/>
  <c r="C9" i="3"/>
  <c r="D9" i="3"/>
  <c r="B10" i="3"/>
  <c r="C10" i="3"/>
  <c r="D10" i="3"/>
  <c r="B11" i="3"/>
  <c r="C11" i="3"/>
  <c r="D11" i="3"/>
  <c r="B12" i="3"/>
  <c r="C12" i="3"/>
  <c r="D12" i="3"/>
  <c r="B13" i="3"/>
  <c r="C13" i="3"/>
  <c r="D13" i="3"/>
  <c r="B14" i="3"/>
  <c r="C14" i="3"/>
  <c r="D14" i="3"/>
  <c r="B15" i="3"/>
  <c r="C15" i="3"/>
  <c r="D15" i="3"/>
  <c r="B16" i="3"/>
  <c r="C16" i="3"/>
  <c r="D16" i="3"/>
  <c r="B17" i="3"/>
  <c r="C17" i="3"/>
  <c r="D17" i="3"/>
  <c r="B18" i="3"/>
  <c r="C18" i="3"/>
  <c r="D18" i="3"/>
  <c r="B19" i="3"/>
  <c r="C19" i="3"/>
  <c r="D19" i="3"/>
  <c r="B20" i="3"/>
  <c r="C20" i="3"/>
  <c r="D20" i="3"/>
  <c r="B21" i="3"/>
  <c r="C21" i="3"/>
  <c r="D21" i="3"/>
  <c r="B22" i="3"/>
  <c r="C22" i="3"/>
  <c r="D22" i="3"/>
  <c r="B23" i="3"/>
  <c r="C23" i="3"/>
  <c r="D23" i="3"/>
  <c r="B24" i="3"/>
  <c r="C24" i="3"/>
  <c r="D24" i="3"/>
  <c r="B25" i="3"/>
  <c r="C25" i="3"/>
  <c r="D25" i="3"/>
  <c r="B26" i="3"/>
  <c r="C26" i="3"/>
  <c r="D26" i="3"/>
  <c r="B27" i="3"/>
  <c r="C27" i="3"/>
  <c r="D27" i="3"/>
  <c r="B28" i="3"/>
  <c r="C28" i="3"/>
  <c r="D28" i="3"/>
  <c r="B29" i="3"/>
  <c r="C29" i="3"/>
  <c r="D29" i="3"/>
  <c r="B30" i="3"/>
  <c r="C30" i="3"/>
  <c r="D30" i="3"/>
  <c r="B31" i="3"/>
  <c r="C31" i="3"/>
  <c r="D31" i="3"/>
  <c r="B32" i="3"/>
  <c r="C32" i="3"/>
  <c r="D32" i="3"/>
  <c r="B33" i="3"/>
  <c r="C33" i="3"/>
  <c r="D33" i="3"/>
  <c r="B34" i="3"/>
  <c r="C34" i="3"/>
  <c r="D34" i="3"/>
  <c r="B35" i="3"/>
  <c r="C35" i="3"/>
  <c r="D35" i="3"/>
  <c r="B36" i="3"/>
  <c r="C36" i="3"/>
  <c r="D36" i="3"/>
  <c r="D5" i="3"/>
  <c r="C5" i="3"/>
  <c r="B5" i="3"/>
  <c r="E18" i="6" l="1"/>
  <c r="D18" i="6"/>
  <c r="P67" i="4"/>
  <c r="Q67" i="4" s="1"/>
  <c r="R67" i="4" s="1"/>
  <c r="S67" i="4" s="1"/>
  <c r="P68" i="4"/>
  <c r="Q68" i="4" s="1"/>
  <c r="R68" i="4" s="1"/>
  <c r="S68" i="4" s="1"/>
  <c r="P69" i="4"/>
  <c r="Q69" i="4" s="1"/>
  <c r="R69" i="4" s="1"/>
  <c r="S69" i="4" s="1"/>
  <c r="P70" i="4"/>
  <c r="Q70" i="4" s="1"/>
  <c r="R70" i="4" s="1"/>
  <c r="S70" i="4" s="1"/>
  <c r="P71" i="4"/>
  <c r="Q71" i="4" s="1"/>
  <c r="R71" i="4" s="1"/>
  <c r="S71" i="4" s="1"/>
  <c r="P43" i="4"/>
  <c r="Q43" i="4" s="1"/>
  <c r="P44" i="4"/>
  <c r="Q44" i="4" s="1"/>
  <c r="R44" i="4" s="1"/>
  <c r="S44" i="4" s="1"/>
  <c r="P45" i="4"/>
  <c r="Q45" i="4" s="1"/>
  <c r="R45" i="4" s="1"/>
  <c r="S45" i="4" s="1"/>
  <c r="P46" i="4"/>
  <c r="Q46" i="4" s="1"/>
  <c r="D19" i="6"/>
  <c r="E19" i="6"/>
  <c r="P29" i="4"/>
  <c r="Q29" i="4" s="1"/>
  <c r="R29" i="4" s="1"/>
  <c r="S29" i="4" s="1"/>
  <c r="P32" i="4"/>
  <c r="Q32" i="4" s="1"/>
  <c r="P38" i="4"/>
  <c r="Q38" i="4" s="1"/>
  <c r="R38" i="4" s="1"/>
  <c r="S38" i="4" s="1"/>
  <c r="P39" i="4"/>
  <c r="Q39" i="4" s="1"/>
  <c r="P40" i="4"/>
  <c r="Q40" i="4" s="1"/>
  <c r="R40" i="4" s="1"/>
  <c r="S40" i="4" s="1"/>
  <c r="P41" i="4"/>
  <c r="Q41" i="4" s="1"/>
  <c r="R41" i="4" s="1"/>
  <c r="S41" i="4" s="1"/>
  <c r="P47" i="4"/>
  <c r="Q47" i="4" s="1"/>
  <c r="R47" i="4" s="1"/>
  <c r="S47" i="4" s="1"/>
  <c r="P48" i="4"/>
  <c r="Q48" i="4" s="1"/>
  <c r="R48" i="4" s="1"/>
  <c r="S48" i="4" s="1"/>
  <c r="P49" i="4"/>
  <c r="Q49" i="4" s="1"/>
  <c r="R49" i="4" s="1"/>
  <c r="S49" i="4" s="1"/>
  <c r="P50" i="4"/>
  <c r="Q50" i="4" s="1"/>
  <c r="P36" i="4"/>
  <c r="Q36" i="4" s="1"/>
  <c r="R36" i="4" s="1"/>
  <c r="S36" i="4" s="1"/>
  <c r="P13" i="4"/>
  <c r="Q13" i="4" s="1"/>
  <c r="R13" i="4" s="1"/>
  <c r="S13" i="4" s="1"/>
  <c r="P14" i="4"/>
  <c r="Q14" i="4" s="1"/>
  <c r="R14" i="4" s="1"/>
  <c r="S14" i="4" s="1"/>
  <c r="P15" i="4"/>
  <c r="Q15" i="4" s="1"/>
  <c r="R15" i="4" s="1"/>
  <c r="S15" i="4" s="1"/>
  <c r="P16" i="4"/>
  <c r="Q16" i="4" s="1"/>
  <c r="R16" i="4" s="1"/>
  <c r="S16" i="4" s="1"/>
  <c r="P17" i="4"/>
  <c r="Q17" i="4" s="1"/>
  <c r="R17" i="4" s="1"/>
  <c r="S17" i="4" s="1"/>
  <c r="P18" i="4"/>
  <c r="Q18" i="4" s="1"/>
  <c r="P19" i="4"/>
  <c r="Q19" i="4" s="1"/>
  <c r="P20" i="4"/>
  <c r="Q20" i="4" s="1"/>
  <c r="P21" i="4"/>
  <c r="Q21" i="4" s="1"/>
  <c r="R21" i="4" s="1"/>
  <c r="S21" i="4" s="1"/>
  <c r="P22" i="4"/>
  <c r="Q22" i="4" s="1"/>
  <c r="R22" i="4" s="1"/>
  <c r="S22" i="4" s="1"/>
  <c r="P35" i="4"/>
  <c r="Q35" i="4" s="1"/>
  <c r="P34" i="4"/>
  <c r="Q34" i="4" s="1"/>
  <c r="P33" i="4"/>
  <c r="Q33" i="4" s="1"/>
  <c r="P37" i="4"/>
  <c r="Q37" i="4" s="1"/>
  <c r="R37" i="4" s="1"/>
  <c r="S37" i="4" s="1"/>
  <c r="P11" i="4"/>
  <c r="Q11" i="4" s="1"/>
  <c r="R11" i="4" s="1"/>
  <c r="S11" i="4" s="1"/>
  <c r="P78" i="4"/>
  <c r="Q78" i="4" s="1"/>
  <c r="R78" i="4" s="1"/>
  <c r="S78" i="4" s="1"/>
  <c r="P8" i="4"/>
  <c r="Q8" i="4" s="1"/>
  <c r="R8" i="4" s="1"/>
  <c r="S8" i="4" s="1"/>
  <c r="P10" i="4"/>
  <c r="Q10" i="4" s="1"/>
  <c r="R10" i="4" s="1"/>
  <c r="S10" i="4" s="1"/>
  <c r="P6" i="4"/>
  <c r="Q6" i="4" s="1"/>
  <c r="R6" i="4" s="1"/>
  <c r="S6" i="4" s="1"/>
  <c r="P7" i="4"/>
  <c r="Q7" i="4" s="1"/>
  <c r="P9" i="4"/>
  <c r="Q9" i="4" s="1"/>
  <c r="P77" i="4"/>
  <c r="Q77" i="4" s="1"/>
  <c r="P12" i="4"/>
  <c r="Q12" i="4" s="1"/>
  <c r="P76" i="4"/>
  <c r="Q76" i="4" s="1"/>
  <c r="P75" i="4"/>
  <c r="Q75" i="4" s="1"/>
  <c r="P23" i="4"/>
  <c r="Q23" i="4" s="1"/>
  <c r="P24" i="4"/>
  <c r="Q24" i="4" s="1"/>
  <c r="P25" i="4"/>
  <c r="Q25" i="4" s="1"/>
  <c r="P26" i="4"/>
  <c r="Q26" i="4" s="1"/>
  <c r="R26" i="4" s="1"/>
  <c r="S26" i="4" s="1"/>
  <c r="P5" i="4"/>
  <c r="Q5" i="4" s="1"/>
  <c r="R5" i="4" s="1"/>
  <c r="S5" i="4" s="1"/>
  <c r="P74" i="4"/>
  <c r="Q74" i="4" s="1"/>
  <c r="P73" i="4"/>
  <c r="Q73" i="4" s="1"/>
  <c r="R73" i="4" s="1"/>
  <c r="S73" i="4" s="1"/>
  <c r="P72" i="4"/>
  <c r="Q72" i="4" s="1"/>
  <c r="P56" i="4"/>
  <c r="Q56" i="4" s="1"/>
  <c r="P31" i="4"/>
  <c r="Q31" i="4" s="1"/>
  <c r="R31" i="4" s="1"/>
  <c r="S31" i="4" s="1"/>
  <c r="D26" i="6"/>
  <c r="E26" i="6"/>
  <c r="E17" i="6"/>
  <c r="D17" i="6"/>
  <c r="C20" i="6"/>
  <c r="D8" i="5"/>
  <c r="P57" i="4"/>
  <c r="Q57" i="4" s="1"/>
  <c r="P58" i="4"/>
  <c r="Q58" i="4" s="1"/>
  <c r="P59" i="4"/>
  <c r="Q59" i="4" s="1"/>
  <c r="R59" i="4" s="1"/>
  <c r="S59" i="4" s="1"/>
  <c r="P60" i="4"/>
  <c r="Q60" i="4" s="1"/>
  <c r="R60" i="4" s="1"/>
  <c r="S60" i="4" s="1"/>
  <c r="P61" i="4"/>
  <c r="Q61" i="4" s="1"/>
  <c r="R61" i="4" s="1"/>
  <c r="S61" i="4" s="1"/>
  <c r="P62" i="4"/>
  <c r="Q62" i="4" s="1"/>
  <c r="R62" i="4" s="1"/>
  <c r="S62" i="4" s="1"/>
  <c r="P63" i="4"/>
  <c r="Q63" i="4" s="1"/>
  <c r="R63" i="4" s="1"/>
  <c r="S63" i="4" s="1"/>
  <c r="P64" i="4"/>
  <c r="Q64" i="4" s="1"/>
  <c r="R64" i="4" s="1"/>
  <c r="S64" i="4" s="1"/>
  <c r="P65" i="4"/>
  <c r="Q65" i="4" s="1"/>
  <c r="R65" i="4" s="1"/>
  <c r="S65" i="4" s="1"/>
  <c r="P66" i="4"/>
  <c r="Q66" i="4" s="1"/>
  <c r="P83" i="4"/>
  <c r="Q83" i="4" s="1"/>
  <c r="R83" i="4" s="1"/>
  <c r="S83" i="4" s="1"/>
  <c r="P30" i="4"/>
  <c r="Q30" i="4" s="1"/>
  <c r="P53" i="4"/>
  <c r="Q53" i="4" s="1"/>
  <c r="P84" i="4"/>
  <c r="Q84" i="4" s="1"/>
  <c r="R84" i="4" s="1"/>
  <c r="S84" i="4" s="1"/>
  <c r="P82" i="4"/>
  <c r="Q82" i="4" s="1"/>
  <c r="P81" i="4"/>
  <c r="Q81" i="4" s="1"/>
  <c r="P80" i="4"/>
  <c r="Q80" i="4" s="1"/>
  <c r="P79" i="4"/>
  <c r="Q79" i="4" s="1"/>
  <c r="P42" i="4"/>
  <c r="Q42" i="4" s="1"/>
  <c r="P55" i="4"/>
  <c r="Q55" i="4" s="1"/>
  <c r="P54" i="4"/>
  <c r="Q54" i="4" s="1"/>
  <c r="I56" i="4"/>
  <c r="J56" i="4" s="1"/>
  <c r="K56" i="4" s="1"/>
  <c r="L55" i="4"/>
  <c r="I55" i="4"/>
  <c r="J55" i="4" s="1"/>
  <c r="K55" i="4" s="1"/>
  <c r="F55" i="4"/>
  <c r="C57" i="4"/>
  <c r="D57" i="4"/>
  <c r="F58" i="4"/>
  <c r="L59" i="4"/>
  <c r="I59" i="4"/>
  <c r="J59" i="4" s="1"/>
  <c r="K59" i="4" s="1"/>
  <c r="F59" i="4"/>
  <c r="I60" i="4"/>
  <c r="J60" i="4" s="1"/>
  <c r="K60" i="4" s="1"/>
  <c r="I61" i="4"/>
  <c r="J61" i="4" s="1"/>
  <c r="K61" i="4" s="1"/>
  <c r="F60" i="4"/>
  <c r="L65" i="4"/>
  <c r="I65" i="4"/>
  <c r="J65" i="4" s="1"/>
  <c r="K65" i="4" s="1"/>
  <c r="F65" i="4"/>
  <c r="F66" i="4"/>
  <c r="L66" i="4"/>
  <c r="I66" i="4"/>
  <c r="J66" i="4" s="1"/>
  <c r="K66" i="4" s="1"/>
  <c r="L67" i="4"/>
  <c r="I67" i="4"/>
  <c r="J67" i="4" s="1"/>
  <c r="K67" i="4" s="1"/>
  <c r="F67" i="4"/>
  <c r="C68" i="4"/>
  <c r="D68" i="4"/>
  <c r="L69" i="4"/>
  <c r="F69" i="4"/>
  <c r="F71" i="4"/>
  <c r="L71" i="4"/>
  <c r="I72" i="4"/>
  <c r="J72" i="4" s="1"/>
  <c r="K72" i="4" s="1"/>
  <c r="F72" i="4"/>
  <c r="I73" i="4"/>
  <c r="J73" i="4" s="1"/>
  <c r="K73" i="4" s="1"/>
  <c r="F73" i="4"/>
  <c r="L73" i="4"/>
  <c r="C74" i="4"/>
  <c r="D74" i="4"/>
  <c r="C75" i="4"/>
  <c r="D75" i="4"/>
  <c r="C76" i="4"/>
  <c r="D76" i="4"/>
  <c r="L77" i="4"/>
  <c r="F77" i="4"/>
  <c r="D78" i="4"/>
  <c r="C78" i="4"/>
  <c r="E78" i="4" s="1"/>
  <c r="D79" i="4"/>
  <c r="C79" i="4"/>
  <c r="E79" i="4" s="1"/>
  <c r="F79" i="4" s="1"/>
  <c r="F80" i="4"/>
  <c r="L80" i="4"/>
  <c r="I80" i="4"/>
  <c r="J80" i="4" s="1"/>
  <c r="K80" i="4" s="1"/>
  <c r="C81" i="4"/>
  <c r="D81" i="4"/>
  <c r="L82" i="4"/>
  <c r="F82" i="4"/>
  <c r="D83" i="4"/>
  <c r="C83" i="4"/>
  <c r="E70" i="4"/>
  <c r="I71" i="4" s="1"/>
  <c r="J71" i="4" s="1"/>
  <c r="K71" i="4" s="1"/>
  <c r="L33" i="4"/>
  <c r="I33" i="4"/>
  <c r="J33" i="4" s="1"/>
  <c r="K33" i="4" s="1"/>
  <c r="F33" i="4"/>
  <c r="I35" i="4"/>
  <c r="J35" i="4" s="1"/>
  <c r="K35" i="4" s="1"/>
  <c r="L34" i="4"/>
  <c r="I34" i="4"/>
  <c r="J34" i="4" s="1"/>
  <c r="K34" i="4" s="1"/>
  <c r="D39" i="4"/>
  <c r="C39" i="4"/>
  <c r="E39" i="4" s="1"/>
  <c r="F39" i="4" s="1"/>
  <c r="D40" i="4"/>
  <c r="C40" i="4"/>
  <c r="E40" i="4" s="1"/>
  <c r="F40" i="4" s="1"/>
  <c r="L41" i="4"/>
  <c r="I41" i="4"/>
  <c r="J41" i="4" s="1"/>
  <c r="K41" i="4" s="1"/>
  <c r="F41" i="4"/>
  <c r="D42" i="4"/>
  <c r="C42" i="4"/>
  <c r="E42" i="4" s="1"/>
  <c r="F42" i="4" s="1"/>
  <c r="C43" i="4"/>
  <c r="D43" i="4"/>
  <c r="L44" i="4"/>
  <c r="F44" i="4"/>
  <c r="D45" i="4"/>
  <c r="C45" i="4"/>
  <c r="E45" i="4" s="1"/>
  <c r="F46" i="4"/>
  <c r="L46" i="4"/>
  <c r="I46" i="4"/>
  <c r="J46" i="4" s="1"/>
  <c r="K46" i="4" s="1"/>
  <c r="C47" i="4"/>
  <c r="D47" i="4"/>
  <c r="L48" i="4"/>
  <c r="F48" i="4"/>
  <c r="C49" i="4"/>
  <c r="D49" i="4"/>
  <c r="I7" i="4"/>
  <c r="J7" i="4" s="1"/>
  <c r="K7" i="4" s="1"/>
  <c r="L7" i="4"/>
  <c r="F7" i="4"/>
  <c r="C8" i="4"/>
  <c r="E8" i="4" s="1"/>
  <c r="D8" i="4"/>
  <c r="I10" i="4"/>
  <c r="J10" i="4" s="1"/>
  <c r="K10" i="4" s="1"/>
  <c r="L9" i="4"/>
  <c r="L13" i="4"/>
  <c r="I13" i="4"/>
  <c r="J13" i="4" s="1"/>
  <c r="K13" i="4" s="1"/>
  <c r="F13" i="4"/>
  <c r="I14" i="4"/>
  <c r="J14" i="4" s="1"/>
  <c r="K14" i="4" s="1"/>
  <c r="L14" i="4"/>
  <c r="F14" i="4"/>
  <c r="L15" i="4"/>
  <c r="F15" i="4"/>
  <c r="I15" i="4"/>
  <c r="J15" i="4" s="1"/>
  <c r="K15" i="4" s="1"/>
  <c r="C16" i="4"/>
  <c r="D16" i="4"/>
  <c r="C17" i="4"/>
  <c r="E17" i="4" s="1"/>
  <c r="D17" i="4"/>
  <c r="C18" i="4"/>
  <c r="D18" i="4"/>
  <c r="D19" i="4"/>
  <c r="C19" i="4"/>
  <c r="E19" i="4" s="1"/>
  <c r="F19" i="4" s="1"/>
  <c r="C20" i="4"/>
  <c r="D20" i="4"/>
  <c r="D21" i="4"/>
  <c r="C21" i="4"/>
  <c r="E21" i="4" s="1"/>
  <c r="F21" i="4" s="1"/>
  <c r="C22" i="4"/>
  <c r="D22" i="4"/>
  <c r="D23" i="4"/>
  <c r="C23" i="4"/>
  <c r="E23" i="4" s="1"/>
  <c r="I24" i="4" s="1"/>
  <c r="J24" i="4" s="1"/>
  <c r="K24" i="4" s="1"/>
  <c r="L24" i="4"/>
  <c r="F24" i="4"/>
  <c r="L25" i="4"/>
  <c r="I25" i="4"/>
  <c r="J25" i="4" s="1"/>
  <c r="K25" i="4" s="1"/>
  <c r="F25" i="4"/>
  <c r="F9" i="4"/>
  <c r="C5" i="4"/>
  <c r="E5" i="4" s="1"/>
  <c r="L5" i="4" s="1"/>
  <c r="F5" i="4"/>
  <c r="D5" i="4"/>
  <c r="H10" i="3"/>
  <c r="R46" i="4" l="1"/>
  <c r="S46" i="4" s="1"/>
  <c r="T84" i="4"/>
  <c r="U84" i="4" s="1"/>
  <c r="V84" i="4" s="1"/>
  <c r="E34" i="5" s="1"/>
  <c r="T70" i="4"/>
  <c r="U70" i="4" s="1"/>
  <c r="V70" i="4" s="1"/>
  <c r="T48" i="4"/>
  <c r="U48" i="4" s="1"/>
  <c r="V48" i="4" s="1"/>
  <c r="T37" i="4"/>
  <c r="U37" i="4" s="1"/>
  <c r="V37" i="4" s="1"/>
  <c r="R43" i="4"/>
  <c r="S43" i="4" s="1"/>
  <c r="T44" i="4" s="1"/>
  <c r="U44" i="4" s="1"/>
  <c r="V44" i="4" s="1"/>
  <c r="R32" i="4"/>
  <c r="S32" i="4" s="1"/>
  <c r="T32" i="4" s="1"/>
  <c r="U32" i="4" s="1"/>
  <c r="V32" i="4" s="1"/>
  <c r="R39" i="4"/>
  <c r="S39" i="4" s="1"/>
  <c r="R18" i="4"/>
  <c r="S18" i="4" s="1"/>
  <c r="R20" i="4"/>
  <c r="S20" i="4" s="1"/>
  <c r="R35" i="4"/>
  <c r="S35" i="4" s="1"/>
  <c r="R34" i="4"/>
  <c r="S34" i="4" s="1"/>
  <c r="R33" i="4"/>
  <c r="S33" i="4" s="1"/>
  <c r="R19" i="4"/>
  <c r="S19" i="4" s="1"/>
  <c r="R23" i="4"/>
  <c r="S23" i="4" s="1"/>
  <c r="T23" i="4" s="1"/>
  <c r="U23" i="4" s="1"/>
  <c r="V23" i="4" s="1"/>
  <c r="R50" i="4"/>
  <c r="S50" i="4" s="1"/>
  <c r="T50" i="4" s="1"/>
  <c r="U50" i="4" s="1"/>
  <c r="V50" i="4" s="1"/>
  <c r="E33" i="5" s="1"/>
  <c r="R7" i="4"/>
  <c r="S7" i="4" s="1"/>
  <c r="R12" i="4"/>
  <c r="S12" i="4" s="1"/>
  <c r="R9" i="4"/>
  <c r="S9" i="4" s="1"/>
  <c r="R77" i="4"/>
  <c r="S77" i="4" s="1"/>
  <c r="R76" i="4"/>
  <c r="S76" i="4" s="1"/>
  <c r="R75" i="4"/>
  <c r="S75" i="4" s="1"/>
  <c r="R24" i="4"/>
  <c r="S24" i="4" s="1"/>
  <c r="R25" i="4"/>
  <c r="S25" i="4" s="1"/>
  <c r="R74" i="4"/>
  <c r="S74" i="4" s="1"/>
  <c r="T74" i="4" s="1"/>
  <c r="U74" i="4" s="1"/>
  <c r="V74" i="4" s="1"/>
  <c r="R72" i="4"/>
  <c r="S72" i="4" s="1"/>
  <c r="R82" i="4"/>
  <c r="S82" i="4" s="1"/>
  <c r="R81" i="4"/>
  <c r="S81" i="4" s="1"/>
  <c r="R80" i="4"/>
  <c r="S80" i="4" s="1"/>
  <c r="R79" i="4"/>
  <c r="S79" i="4" s="1"/>
  <c r="T79" i="4" s="1"/>
  <c r="U79" i="4" s="1"/>
  <c r="V79" i="4" s="1"/>
  <c r="D20" i="6"/>
  <c r="E20" i="6"/>
  <c r="R57" i="4"/>
  <c r="S57" i="4" s="1"/>
  <c r="R58" i="4"/>
  <c r="S58" i="4" s="1"/>
  <c r="R56" i="4"/>
  <c r="S56" i="4" s="1"/>
  <c r="R66" i="4"/>
  <c r="S66" i="4" s="1"/>
  <c r="B11" i="5"/>
  <c r="T64" i="4"/>
  <c r="U64" i="4" s="1"/>
  <c r="V64" i="4" s="1"/>
  <c r="T45" i="4"/>
  <c r="U45" i="4" s="1"/>
  <c r="V45" i="4" s="1"/>
  <c r="T6" i="4"/>
  <c r="U6" i="4" s="1"/>
  <c r="V6" i="4" s="1"/>
  <c r="T17" i="4"/>
  <c r="U17" i="4" s="1"/>
  <c r="V17" i="4" s="1"/>
  <c r="T22" i="4"/>
  <c r="U22" i="4" s="1"/>
  <c r="V22" i="4" s="1"/>
  <c r="R30" i="4"/>
  <c r="S30" i="4" s="1"/>
  <c r="R53" i="4"/>
  <c r="S53" i="4" s="1"/>
  <c r="R42" i="4"/>
  <c r="S42" i="4" s="1"/>
  <c r="R55" i="4"/>
  <c r="S55" i="4" s="1"/>
  <c r="R54" i="4"/>
  <c r="S54" i="4" s="1"/>
  <c r="T14" i="4"/>
  <c r="U14" i="4" s="1"/>
  <c r="V14" i="4" s="1"/>
  <c r="T69" i="4"/>
  <c r="U69" i="4" s="1"/>
  <c r="V69" i="4" s="1"/>
  <c r="T68" i="4"/>
  <c r="U68" i="4" s="1"/>
  <c r="V68" i="4" s="1"/>
  <c r="T71" i="4"/>
  <c r="U71" i="4" s="1"/>
  <c r="V71" i="4" s="1"/>
  <c r="T61" i="4"/>
  <c r="U61" i="4" s="1"/>
  <c r="V61" i="4" s="1"/>
  <c r="T60" i="4"/>
  <c r="U60" i="4" s="1"/>
  <c r="V60" i="4" s="1"/>
  <c r="T63" i="4"/>
  <c r="U63" i="4" s="1"/>
  <c r="V63" i="4" s="1"/>
  <c r="T62" i="4"/>
  <c r="U62" i="4" s="1"/>
  <c r="V62" i="4" s="1"/>
  <c r="T65" i="4"/>
  <c r="U65" i="4" s="1"/>
  <c r="V65" i="4" s="1"/>
  <c r="T38" i="4"/>
  <c r="U38" i="4" s="1"/>
  <c r="V38" i="4" s="1"/>
  <c r="T41" i="4"/>
  <c r="U41" i="4" s="1"/>
  <c r="V41" i="4" s="1"/>
  <c r="T49" i="4"/>
  <c r="U49" i="4" s="1"/>
  <c r="V49" i="4" s="1"/>
  <c r="T11" i="4"/>
  <c r="U11" i="4" s="1"/>
  <c r="V11" i="4" s="1"/>
  <c r="T16" i="4"/>
  <c r="U16" i="4" s="1"/>
  <c r="V16" i="4" s="1"/>
  <c r="T15" i="4"/>
  <c r="U15" i="4" s="1"/>
  <c r="V15" i="4" s="1"/>
  <c r="I78" i="4"/>
  <c r="J78" i="4" s="1"/>
  <c r="K78" i="4" s="1"/>
  <c r="L78" i="4"/>
  <c r="F78" i="4"/>
  <c r="L79" i="4"/>
  <c r="I79" i="4"/>
  <c r="J79" i="4" s="1"/>
  <c r="K79" i="4" s="1"/>
  <c r="F70" i="4"/>
  <c r="L70" i="4"/>
  <c r="I70" i="4"/>
  <c r="J70" i="4" s="1"/>
  <c r="K70" i="4" s="1"/>
  <c r="E57" i="4"/>
  <c r="E81" i="4"/>
  <c r="E68" i="4"/>
  <c r="E74" i="4"/>
  <c r="E75" i="4"/>
  <c r="E76" i="4"/>
  <c r="E83" i="4"/>
  <c r="I39" i="4"/>
  <c r="J39" i="4" s="1"/>
  <c r="K39" i="4" s="1"/>
  <c r="L39" i="4"/>
  <c r="L40" i="4"/>
  <c r="I40" i="4"/>
  <c r="J40" i="4" s="1"/>
  <c r="K40" i="4" s="1"/>
  <c r="L42" i="4"/>
  <c r="I42" i="4"/>
  <c r="J42" i="4" s="1"/>
  <c r="K42" i="4" s="1"/>
  <c r="L45" i="4"/>
  <c r="I45" i="4"/>
  <c r="J45" i="4" s="1"/>
  <c r="K45" i="4" s="1"/>
  <c r="F45" i="4"/>
  <c r="E47" i="4"/>
  <c r="E49" i="4"/>
  <c r="E43" i="4"/>
  <c r="L8" i="4"/>
  <c r="I8" i="4"/>
  <c r="J8" i="4" s="1"/>
  <c r="K8" i="4" s="1"/>
  <c r="L17" i="4"/>
  <c r="F17" i="4"/>
  <c r="L19" i="4"/>
  <c r="I19" i="4"/>
  <c r="J19" i="4" s="1"/>
  <c r="K19" i="4" s="1"/>
  <c r="L21" i="4"/>
  <c r="I21" i="4"/>
  <c r="J21" i="4" s="1"/>
  <c r="K21" i="4" s="1"/>
  <c r="L23" i="4"/>
  <c r="I23" i="4"/>
  <c r="J23" i="4" s="1"/>
  <c r="K23" i="4" s="1"/>
  <c r="F23" i="4"/>
  <c r="E16" i="4"/>
  <c r="I17" i="4" s="1"/>
  <c r="J17" i="4" s="1"/>
  <c r="K17" i="4" s="1"/>
  <c r="E18" i="4"/>
  <c r="E22" i="4"/>
  <c r="E20" i="4"/>
  <c r="F8" i="4"/>
  <c r="I9" i="4"/>
  <c r="J9" i="4" s="1"/>
  <c r="K9" i="4" s="1"/>
  <c r="H11" i="3"/>
  <c r="H16" i="3" s="1"/>
  <c r="H12" i="3"/>
  <c r="T47" i="4" l="1"/>
  <c r="U47" i="4" s="1"/>
  <c r="V47" i="4" s="1"/>
  <c r="T46" i="4"/>
  <c r="U46" i="4" s="1"/>
  <c r="V46" i="4" s="1"/>
  <c r="T54" i="4"/>
  <c r="U54" i="4" s="1"/>
  <c r="V54" i="4" s="1"/>
  <c r="T33" i="4"/>
  <c r="U33" i="4" s="1"/>
  <c r="V33" i="4" s="1"/>
  <c r="T24" i="4"/>
  <c r="U24" i="4" s="1"/>
  <c r="V24" i="4" s="1"/>
  <c r="T81" i="4"/>
  <c r="U81" i="4" s="1"/>
  <c r="V81" i="4" s="1"/>
  <c r="T80" i="4"/>
  <c r="U80" i="4" s="1"/>
  <c r="V80" i="4" s="1"/>
  <c r="T19" i="4"/>
  <c r="U19" i="4" s="1"/>
  <c r="V19" i="4" s="1"/>
  <c r="T18" i="4"/>
  <c r="U18" i="4" s="1"/>
  <c r="V18" i="4" s="1"/>
  <c r="T35" i="4"/>
  <c r="U35" i="4" s="1"/>
  <c r="V35" i="4" s="1"/>
  <c r="T36" i="4"/>
  <c r="U36" i="4" s="1"/>
  <c r="V36" i="4" s="1"/>
  <c r="T34" i="4"/>
  <c r="U34" i="4" s="1"/>
  <c r="V34" i="4" s="1"/>
  <c r="T40" i="4"/>
  <c r="U40" i="4" s="1"/>
  <c r="V40" i="4" s="1"/>
  <c r="T39" i="4"/>
  <c r="U39" i="4" s="1"/>
  <c r="V39" i="4" s="1"/>
  <c r="T20" i="4"/>
  <c r="U20" i="4" s="1"/>
  <c r="V20" i="4" s="1"/>
  <c r="T21" i="4"/>
  <c r="U21" i="4" s="1"/>
  <c r="V21" i="4" s="1"/>
  <c r="T10" i="4"/>
  <c r="U10" i="4" s="1"/>
  <c r="V10" i="4" s="1"/>
  <c r="T9" i="4"/>
  <c r="U9" i="4" s="1"/>
  <c r="V9" i="4" s="1"/>
  <c r="T26" i="4"/>
  <c r="U26" i="4" s="1"/>
  <c r="V26" i="4" s="1"/>
  <c r="E32" i="5" s="1"/>
  <c r="T25" i="4"/>
  <c r="U25" i="4" s="1"/>
  <c r="V25" i="4" s="1"/>
  <c r="T83" i="4"/>
  <c r="U83" i="4" s="1"/>
  <c r="V83" i="4" s="1"/>
  <c r="T82" i="4"/>
  <c r="U82" i="4" s="1"/>
  <c r="V82" i="4" s="1"/>
  <c r="T75" i="4"/>
  <c r="U75" i="4" s="1"/>
  <c r="V75" i="4" s="1"/>
  <c r="T57" i="4"/>
  <c r="U57" i="4" s="1"/>
  <c r="V57" i="4" s="1"/>
  <c r="T76" i="4"/>
  <c r="U76" i="4" s="1"/>
  <c r="V76" i="4" s="1"/>
  <c r="T7" i="4"/>
  <c r="U7" i="4" s="1"/>
  <c r="V7" i="4" s="1"/>
  <c r="T8" i="4"/>
  <c r="U8" i="4" s="1"/>
  <c r="V8" i="4" s="1"/>
  <c r="T13" i="4"/>
  <c r="U13" i="4" s="1"/>
  <c r="V13" i="4" s="1"/>
  <c r="T12" i="4"/>
  <c r="U12" i="4" s="1"/>
  <c r="V12" i="4" s="1"/>
  <c r="T78" i="4"/>
  <c r="U78" i="4" s="1"/>
  <c r="V78" i="4" s="1"/>
  <c r="T77" i="4"/>
  <c r="U77" i="4" s="1"/>
  <c r="V77" i="4" s="1"/>
  <c r="T73" i="4"/>
  <c r="U73" i="4" s="1"/>
  <c r="V73" i="4" s="1"/>
  <c r="T72" i="4"/>
  <c r="U72" i="4" s="1"/>
  <c r="V72" i="4" s="1"/>
  <c r="T59" i="4"/>
  <c r="U59" i="4" s="1"/>
  <c r="V59" i="4" s="1"/>
  <c r="T58" i="4"/>
  <c r="U58" i="4" s="1"/>
  <c r="V58" i="4" s="1"/>
  <c r="T66" i="4"/>
  <c r="U66" i="4" s="1"/>
  <c r="V66" i="4" s="1"/>
  <c r="T67" i="4"/>
  <c r="U67" i="4" s="1"/>
  <c r="V67" i="4" s="1"/>
  <c r="T42" i="4"/>
  <c r="U42" i="4" s="1"/>
  <c r="V42" i="4" s="1"/>
  <c r="T43" i="4"/>
  <c r="U43" i="4" s="1"/>
  <c r="V43" i="4" s="1"/>
  <c r="T56" i="4"/>
  <c r="U56" i="4" s="1"/>
  <c r="V56" i="4" s="1"/>
  <c r="T55" i="4"/>
  <c r="U55" i="4" s="1"/>
  <c r="V55" i="4" s="1"/>
  <c r="T31" i="4"/>
  <c r="U31" i="4" s="1"/>
  <c r="V31" i="4" s="1"/>
  <c r="T30" i="4"/>
  <c r="U30" i="4" s="1"/>
  <c r="V30" i="4" s="1"/>
  <c r="I57" i="4"/>
  <c r="J57" i="4" s="1"/>
  <c r="K57" i="4" s="1"/>
  <c r="L57" i="4"/>
  <c r="I58" i="4"/>
  <c r="J58" i="4" s="1"/>
  <c r="K58" i="4" s="1"/>
  <c r="F57" i="4"/>
  <c r="L81" i="4"/>
  <c r="I81" i="4"/>
  <c r="J81" i="4" s="1"/>
  <c r="K81" i="4" s="1"/>
  <c r="F81" i="4"/>
  <c r="I82" i="4"/>
  <c r="J82" i="4" s="1"/>
  <c r="K82" i="4" s="1"/>
  <c r="F68" i="4"/>
  <c r="I68" i="4"/>
  <c r="J68" i="4" s="1"/>
  <c r="K68" i="4" s="1"/>
  <c r="L68" i="4"/>
  <c r="I69" i="4"/>
  <c r="J69" i="4" s="1"/>
  <c r="K69" i="4" s="1"/>
  <c r="F74" i="4"/>
  <c r="I74" i="4"/>
  <c r="J74" i="4" s="1"/>
  <c r="K74" i="4" s="1"/>
  <c r="L74" i="4"/>
  <c r="L75" i="4"/>
  <c r="I75" i="4"/>
  <c r="J75" i="4" s="1"/>
  <c r="K75" i="4" s="1"/>
  <c r="F75" i="4"/>
  <c r="F76" i="4"/>
  <c r="L76" i="4"/>
  <c r="I76" i="4"/>
  <c r="J76" i="4" s="1"/>
  <c r="K76" i="4" s="1"/>
  <c r="I77" i="4"/>
  <c r="J77" i="4" s="1"/>
  <c r="K77" i="4" s="1"/>
  <c r="F83" i="4"/>
  <c r="I83" i="4"/>
  <c r="J83" i="4" s="1"/>
  <c r="K83" i="4" s="1"/>
  <c r="L83" i="4"/>
  <c r="I47" i="4"/>
  <c r="J47" i="4" s="1"/>
  <c r="K47" i="4" s="1"/>
  <c r="L47" i="4"/>
  <c r="F47" i="4"/>
  <c r="I48" i="4"/>
  <c r="J48" i="4" s="1"/>
  <c r="K48" i="4" s="1"/>
  <c r="I49" i="4"/>
  <c r="J49" i="4" s="1"/>
  <c r="K49" i="4" s="1"/>
  <c r="L49" i="4"/>
  <c r="F49" i="4"/>
  <c r="F43" i="4"/>
  <c r="I43" i="4"/>
  <c r="J43" i="4" s="1"/>
  <c r="K43" i="4" s="1"/>
  <c r="L43" i="4"/>
  <c r="I44" i="4"/>
  <c r="J44" i="4" s="1"/>
  <c r="K44" i="4" s="1"/>
  <c r="I16" i="4"/>
  <c r="J16" i="4" s="1"/>
  <c r="K16" i="4" s="1"/>
  <c r="L16" i="4"/>
  <c r="F16" i="4"/>
  <c r="L18" i="4"/>
  <c r="I18" i="4"/>
  <c r="J18" i="4" s="1"/>
  <c r="K18" i="4" s="1"/>
  <c r="F18" i="4"/>
  <c r="F22" i="4"/>
  <c r="I22" i="4"/>
  <c r="J22" i="4" s="1"/>
  <c r="K22" i="4" s="1"/>
  <c r="L22" i="4"/>
  <c r="I20" i="4"/>
  <c r="J20" i="4" s="1"/>
  <c r="K20" i="4" s="1"/>
  <c r="L20" i="4"/>
  <c r="F20" i="4"/>
  <c r="H15" i="3"/>
  <c r="H17" i="3" s="1"/>
  <c r="H18" i="3" s="1"/>
  <c r="H13" i="3"/>
  <c r="H19" i="3" l="1"/>
  <c r="B14" i="5" s="1"/>
  <c r="B19" i="5"/>
  <c r="B22" i="5" s="1"/>
  <c r="C13" i="6" s="1"/>
  <c r="D13" i="6" s="1"/>
  <c r="E13" i="6" s="1"/>
  <c r="H14" i="3"/>
  <c r="B12" i="5"/>
  <c r="B13" i="5" l="1"/>
  <c r="C25" i="6" a="1"/>
  <c r="D12" i="5"/>
  <c r="C21" i="6"/>
  <c r="D25" i="6" l="1"/>
  <c r="E25" i="6"/>
  <c r="D21" i="6"/>
  <c r="E21" i="6"/>
  <c r="B29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<sst xmlns="http://schemas.openxmlformats.org/spreadsheetml/2006/main" count="309" uniqueCount="185">
  <si>
    <t>Marginal Analysis — Market Garden: Inputs</t>
  </si>
  <si>
    <t>Group</t>
  </si>
  <si>
    <t>Name</t>
  </si>
  <si>
    <t>Value</t>
  </si>
  <si>
    <t>Unit</t>
  </si>
  <si>
    <t>Source</t>
  </si>
  <si>
    <t>Farm</t>
  </si>
  <si>
    <t>WEEKS</t>
  </si>
  <si>
    <t>weeks</t>
  </si>
  <si>
    <t>case scenario table</t>
  </si>
  <si>
    <t>TOTAL_BEDS</t>
  </si>
  <si>
    <t>beds</t>
  </si>
  <si>
    <t>FIXED_COST</t>
  </si>
  <si>
    <t>$</t>
  </si>
  <si>
    <t>FARMER_HOURS</t>
  </si>
  <si>
    <t>hrs</t>
  </si>
  <si>
    <t>FARMER_WAGE</t>
  </si>
  <si>
    <t>$/hr</t>
  </si>
  <si>
    <t>TEMP_WORKERS_MAX</t>
  </si>
  <si>
    <t>count</t>
  </si>
  <si>
    <t>TEMP_HOURS_PER_WORKER</t>
  </si>
  <si>
    <t>TEMP_WAGE</t>
  </si>
  <si>
    <t>Tomato</t>
  </si>
  <si>
    <t>BED_CAP_TOMATO</t>
  </si>
  <si>
    <t>PRICE_TOMATO</t>
  </si>
  <si>
    <t>$/bed</t>
  </si>
  <si>
    <t>HRS_PER_BED_TOMATO</t>
  </si>
  <si>
    <t>hrs/week/bed</t>
  </si>
  <si>
    <t>FERT_TOMATO</t>
  </si>
  <si>
    <t>DIM_PCT_TOMATO</t>
  </si>
  <si>
    <t>%/bed</t>
  </si>
  <si>
    <t>Carrot</t>
  </si>
  <si>
    <t>BED_CAP_CARROT</t>
  </si>
  <si>
    <t>PRICE_CARROT</t>
  </si>
  <si>
    <t>HRS_PER_BED_CARROT</t>
  </si>
  <si>
    <t>FERT_CARROT</t>
  </si>
  <si>
    <t>DIM_PCT_CARROT</t>
  </si>
  <si>
    <t>Mesclun</t>
  </si>
  <si>
    <t>BED_CAP_MESCLUN</t>
  </si>
  <si>
    <t>PRICE_MESCLUN</t>
  </si>
  <si>
    <t>HRS_PER_BED_MESCLUN</t>
  </si>
  <si>
    <t>FERT_MESCLUN</t>
  </si>
  <si>
    <t>DIM_PCT_MESCLUN</t>
  </si>
  <si>
    <t>Switch</t>
  </si>
  <si>
    <t>LABOR_MODE</t>
  </si>
  <si>
    <t>1 = fractional temp hours; 2 = whole workers</t>
  </si>
  <si>
    <t>modeling choice (agreed with user)</t>
  </si>
  <si>
    <t>Labor Hours by Bed Count</t>
  </si>
  <si>
    <t>LABOR_HRS_CROP(q) = q × HRS_PER_BED_CROP × WEEKS × (1 + DIM_PCT_CROP)^q</t>
  </si>
  <si>
    <t>q (beds)</t>
  </si>
  <si>
    <t>Tomato hrs</t>
  </si>
  <si>
    <t>Carrot hrs</t>
  </si>
  <si>
    <t>Mesclun hrs</t>
  </si>
  <si>
    <t>Farm summary at current bed counts</t>
  </si>
  <si>
    <t>Beds — Tomatoes</t>
  </si>
  <si>
    <t>Beds — Carrots</t>
  </si>
  <si>
    <t>Beds — Mesclun</t>
  </si>
  <si>
    <t>Labor hrs — Tomatoes</t>
  </si>
  <si>
    <t>Labor hrs — Carrots</t>
  </si>
  <si>
    <t>Labor hrs — Mesclun</t>
  </si>
  <si>
    <t>Total labor hours</t>
  </si>
  <si>
    <t>Farmer hours used</t>
  </si>
  <si>
    <t>Temp hours required</t>
  </si>
  <si>
    <t>Temp workers required (fractional)</t>
  </si>
  <si>
    <t>Temp workers billed</t>
  </si>
  <si>
    <t>Temp hours billed</t>
  </si>
  <si>
    <t>Farmer labor $</t>
  </si>
  <si>
    <t>Temp labor $</t>
  </si>
  <si>
    <t>Total labor $</t>
  </si>
  <si>
    <t>Blended labor rate ($/hr)</t>
  </si>
  <si>
    <t>Cost, Revenue &amp; Marginal Cost — Standalone (crop alone on the farm)</t>
  </si>
  <si>
    <t>Each block assumes the other two crops are at 0 beds, so the farmer's 720 hrs are applied entirely to this crop.</t>
  </si>
  <si>
    <t>Tomatoes — standalone</t>
  </si>
  <si>
    <t>Labor hrs</t>
  </si>
  <si>
    <t>Farmer hrs</t>
  </si>
  <si>
    <t>Temp hrs</t>
  </si>
  <si>
    <t>Labor $</t>
  </si>
  <si>
    <t>Blended $/hr</t>
  </si>
  <si>
    <t>Fertilizer $</t>
  </si>
  <si>
    <t>Revenue $</t>
  </si>
  <si>
    <t>MC labor $/bed</t>
  </si>
  <si>
    <t>MC total $/bed</t>
  </si>
  <si>
    <t>Price − MC</t>
  </si>
  <si>
    <t>Standalone profit</t>
  </si>
  <si>
    <t>Carrots — standalone</t>
  </si>
  <si>
    <t>Mesclun — standalone</t>
  </si>
  <si>
    <t>Marginal Cost at the Optimum (other two crops held at their solved bed counts)</t>
  </si>
  <si>
    <t>MC labor = change in TOTAL farm labor $ when this crop moves from q−1 to q beds, priced under the farm-wide blended rate. Rows extend to cap+1 for the shadow price.</t>
  </si>
  <si>
    <t>Tomatoes — at the optimum</t>
  </si>
  <si>
    <t>This crop hrs</t>
  </si>
  <si>
    <t>Other crops hrs</t>
  </si>
  <si>
    <t>Total farm hrs</t>
  </si>
  <si>
    <t>Total farm labor $</t>
  </si>
  <si>
    <t>Carrots — at the optimum</t>
  </si>
  <si>
    <t>Mesclun — at the optimum</t>
  </si>
  <si>
    <t>Optimization — Bed Allocation</t>
  </si>
  <si>
    <t>1. Decision variables (Solver changing cells, shown in blue)</t>
  </si>
  <si>
    <t>Crop</t>
  </si>
  <si>
    <t>Beds</t>
  </si>
  <si>
    <t>Bed cap</t>
  </si>
  <si>
    <t>Cap status</t>
  </si>
  <si>
    <t>Tomatoes</t>
  </si>
  <si>
    <t>Carrots</t>
  </si>
  <si>
    <t>Total beds</t>
  </si>
  <si>
    <t>2. Labor &amp; capacity</t>
  </si>
  <si>
    <t>Temp workers required</t>
  </si>
  <si>
    <t>Labor costing mode</t>
  </si>
  <si>
    <t>3. Season profit (Solver objective cell = B22)</t>
  </si>
  <si>
    <t>Revenue</t>
  </si>
  <si>
    <t>Labor cost</t>
  </si>
  <si>
    <t>Fertilizer cost</t>
  </si>
  <si>
    <t>Fixed cost</t>
  </si>
  <si>
    <t>Season profit</t>
  </si>
  <si>
    <t>5. Shadow price of a bed cap (profit gain from relaxing the cap by one bed, at the optimum)</t>
  </si>
  <si>
    <t>Beds used</t>
  </si>
  <si>
    <t>Cap binding?</t>
  </si>
  <si>
    <t>Shadow price $/bed</t>
  </si>
  <si>
    <t>4. Standalone P ≈ MC crossing point (crop alone on the farm; MC is NOT assumed monotonic)</t>
  </si>
  <si>
    <t>Crossing q (last q before P first drops below MC)</t>
  </si>
  <si>
    <t>MC total at crossing q</t>
  </si>
  <si>
    <t>Last q where P ≥ MC</t>
  </si>
  <si>
    <t>MC monotonically rising?</t>
  </si>
  <si>
    <t>Note: standalone crossings are below the farm optimum because a lone crop consumes the farmer's own $34.72/hr hours first. At full farm scale the marginal hour costs $17.36, lowering MC and making it pay to run carrots and mesclun to their caps.</t>
  </si>
  <si>
    <t>6. Solver setup (run in Excel desktop — Data ▸ Solver)</t>
  </si>
  <si>
    <t>Set Objective</t>
  </si>
  <si>
    <t>$B$22  (Season profit)</t>
  </si>
  <si>
    <t>To</t>
  </si>
  <si>
    <t>Max</t>
  </si>
  <si>
    <t>By Changing Variable Cells</t>
  </si>
  <si>
    <t>$B$5:$B$7  (Tomatoes, Carrots, Mesclun beds)</t>
  </si>
  <si>
    <t>Solving Method</t>
  </si>
  <si>
    <t>GRG Nonlinear</t>
  </si>
  <si>
    <t>Constraint 1</t>
  </si>
  <si>
    <t>$B$5:$B$7 = integer</t>
  </si>
  <si>
    <t>Constraint 2</t>
  </si>
  <si>
    <t>$B$5:$B$7 &gt;= 0</t>
  </si>
  <si>
    <t>Constraint 3</t>
  </si>
  <si>
    <t>$B$5 &lt;= $C$5   (tomato bed cap, 20)</t>
  </si>
  <si>
    <t>Constraint 4</t>
  </si>
  <si>
    <t>$B$6 &lt;= $C$6   (carrot bed cap, 20)</t>
  </si>
  <si>
    <t>Constraint 5</t>
  </si>
  <si>
    <t>$B$7 &lt;= $C$7   (mesclun bed cap, 30)</t>
  </si>
  <si>
    <t>Constraint 6</t>
  </si>
  <si>
    <t>$B$8 &lt;= $C$8   (64 beds total)</t>
  </si>
  <si>
    <t>Constraint 7</t>
  </si>
  <si>
    <t>$B$12 &lt;= $C$12  (temp workers &lt;= 4)</t>
  </si>
  <si>
    <t>Options</t>
  </si>
  <si>
    <t>Uncheck 'Ignore Integer Constraints'. Tick 'Use Multistart' and set Random Seed = 1 for repeatability.</t>
  </si>
  <si>
    <t>Run 1</t>
  </si>
  <si>
    <t>Start from beds 0 / 0 / 0 — record profit.</t>
  </si>
  <si>
    <t>Run 2</t>
  </si>
  <si>
    <t>Reset to 20 / 0 / 0 and re-run — should return the same optimum.</t>
  </si>
  <si>
    <t>Expected result</t>
  </si>
  <si>
    <t>Tomatoes 10, Carrots 20, Mesclun 30 — see Checks sheet.</t>
  </si>
  <si>
    <t>Validation &amp; Acceptance Checks</t>
  </si>
  <si>
    <t>A. Hand check — spec reproduction step 3</t>
  </si>
  <si>
    <t>Check</t>
  </si>
  <si>
    <t>Hand value</t>
  </si>
  <si>
    <t>Model value</t>
  </si>
  <si>
    <t>Delta</t>
  </si>
  <si>
    <t>Result</t>
  </si>
  <si>
    <t>LABOR_HRS_TOMATO(1) = 1 × 2.50 × 36 × 1.10 hrs</t>
  </si>
  <si>
    <t>B. Published check figures — spec reproduction step 7 (exact match required)</t>
  </si>
  <si>
    <t>Check figure</t>
  </si>
  <si>
    <t>Published</t>
  </si>
  <si>
    <t>Model</t>
  </si>
  <si>
    <t>Optimal beds — Tomatoes</t>
  </si>
  <si>
    <t>Optimal beds — Carrots</t>
  </si>
  <si>
    <t>Optimal beds — Mesclun</t>
  </si>
  <si>
    <t>C. Constraint checks — spec reproduction step 9</t>
  </si>
  <si>
    <t>Constraint</t>
  </si>
  <si>
    <t>Limit</t>
  </si>
  <si>
    <t>Actual</t>
  </si>
  <si>
    <t>Slack</t>
  </si>
  <si>
    <t>Tomato beds ≤ bed cap</t>
  </si>
  <si>
    <t>Carrot beds ≤ bed cap</t>
  </si>
  <si>
    <t>Mesclun beds ≤ bed cap</t>
  </si>
  <si>
    <t>Total beds ≤ 64</t>
  </si>
  <si>
    <t>Temp workers ≤ 4</t>
  </si>
  <si>
    <t>D. Integrity checks — spec reproduction step 8</t>
  </si>
  <si>
    <t>Expected</t>
  </si>
  <si>
    <t>Error cells (#REF!, #DIV/0!, #NAME?, etc.) across all calc ranges</t>
  </si>
  <si>
    <t>Calculated cells that are NOT formulas (pasted values)</t>
  </si>
  <si>
    <t>E. Overall</t>
  </si>
  <si>
    <t>All checks passing?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</si>
</sst>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;\(&quot;$&quot;#,##0\);\-"/>
    <numFmt numFmtId="165" formatCode="&quot;$&quot;#,##0.00"/>
    <numFmt numFmtId="166" formatCode="0.000"/>
    <numFmt numFmtId="167" formatCode="#,##0.0"/>
    <numFmt numFmtId="168" formatCode="&quot;$&quot;#,##0.00;\(&quot;$&quot;#,##0.00\);\-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0000FF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rgb="FF008000"/>
      <name val="Aptos Narrow"/>
      <family val="2"/>
      <scheme val="minor"/>
    </font>
    <font>
      <b/>
      <sz val="12"/>
      <color rgb="FF0000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37562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4" fillId="3" borderId="0" xfId="0" applyFont="1" applyFill="1"/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right"/>
    </xf>
    <xf numFmtId="0" fontId="5" fillId="0" borderId="0" xfId="0" applyFont="1"/>
    <xf numFmtId="167" fontId="0" fillId="0" borderId="0" xfId="0" applyNumberFormat="1"/>
    <xf numFmtId="0" fontId="1" fillId="4" borderId="0" xfId="0" applyFont="1" applyFill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3" fontId="6" fillId="0" borderId="0" xfId="0" applyNumberFormat="1" applyFont="1"/>
    <xf numFmtId="0" fontId="3" fillId="2" borderId="0" xfId="0" applyFont="1" applyFill="1" applyAlignment="1">
      <alignment wrapText="1"/>
    </xf>
    <xf numFmtId="0" fontId="1" fillId="5" borderId="0" xfId="0" applyFont="1" applyFill="1"/>
    <xf numFmtId="0" fontId="3" fillId="6" borderId="0" xfId="0" applyFont="1" applyFill="1" applyAlignment="1">
      <alignment wrapText="1"/>
    </xf>
    <xf numFmtId="4" fontId="6" fillId="0" borderId="0" xfId="0" applyNumberFormat="1" applyFont="1"/>
    <xf numFmtId="3" fontId="4" fillId="3" borderId="0" xfId="0" applyNumberFormat="1" applyFont="1" applyFill="1"/>
    <xf numFmtId="167" fontId="6" fillId="0" borderId="0" xfId="0" applyNumberFormat="1" applyFont="1"/>
    <xf numFmtId="165" fontId="6" fillId="0" borderId="0" xfId="0" applyNumberFormat="1" applyFont="1"/>
    <xf numFmtId="164" fontId="6" fillId="0" borderId="0" xfId="0" applyNumberFormat="1" applyFont="1"/>
    <xf numFmtId="164" fontId="1" fillId="0" borderId="1" xfId="0" applyNumberFormat="1" applyFont="1" applyBorder="1"/>
    <xf numFmtId="168" fontId="0" fillId="0" borderId="0" xfId="0" applyNumberFormat="1"/>
    <xf numFmtId="4" fontId="4" fillId="0" borderId="0" xfId="0" applyNumberFormat="1" applyFont="1"/>
    <xf numFmtId="0" fontId="7" fillId="2" borderId="0" xfId="0" applyFont="1" applyFill="1" applyAlignment="1">
      <alignment wrapText="1"/>
    </xf>
    <xf numFmtId="168" fontId="4" fillId="0" borderId="0" xfId="0" applyNumberFormat="1" applyFont="1"/>
  </cellXfs>
  <cellStyles count="1">
    <cellStyle name="Normal" xfId="0" builtinId="0"/>
  </cellStyles>
  <dxfs count="42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010E155-7789-314C-998B-6F1500E82680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359657a8-211d-4705-8778-9cf47113abcc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8ED3F648-2D14-0D4E-82A0-737675782C36}">
  <we:reference id="wa200009486" version="1.0.1.6" store="en-US" storeType="OMEX"/>
  <we:alternateReferences>
    <we:reference id="wa200009486" version="1.0.1.6" store="wa200009486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_xldudf_SOLVER_BASIN_HOPPING</we:customFunctionIds>
        <we:customFunctionIds>_xldudf_SOLVER_BRUTE</we:customFunctionIds>
        <we:customFunctionIds>_xldudf_SOLVER_CA_MINIMIZE</we:customFunctionIds>
        <we:customFunctionIds>_xldudf_SOLVER_CA_QUAD_PROG</we:customFunctionIds>
        <we:customFunctionIds>_xldudf_SOLVER_CA_ROOT</we:customFunctionIds>
        <we:customFunctionIds>_xldudf_SOLVER_DIFF_EVOLUTION</we:customFunctionIds>
        <we:customFunctionIds>_xldudf_SOLVER_DUAL_ANNEALING</we:customFunctionIds>
        <we:customFunctionIds>_xldudf_SOLVER_FIXED_POINT</we:customFunctionIds>
        <we:customFunctionIds>_xldudf_SOLVER_LINEAR_ASSIGNMENT</we:customFunctionIds>
        <we:customFunctionIds>_xldudf_SOLVER_LINEAR_PROG</we:customFunctionIds>
        <we:customFunctionIds>_xldudf_SOLVER_MILP</we:customFunctionIds>
        <we:customFunctionIds>_xldudf_SOLVER_MINIMIZE</we:customFunctionIds>
        <we:customFunctionIds>_xldudf_SOLVER_MINIMIZE_SCALAR</we:customFunctionIds>
        <we:customFunctionIds>_xldudf_SOLVER_QUAD_ASSIGN</we:customFunctionIds>
        <we:customFunctionIds>_xldudf_SOLVER_ROOT</we:customFunctionIds>
        <we:customFunctionIds>_xldudf_SOLVER_ROOT_SCALAR</we:customFunctionIds>
        <we:customFunctionIds>_xldudf_SOLVER_SHGO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ECA06-DEC8-CA4B-9B6C-56BB145016DF}">
  <dimension ref="A1:E28"/>
  <sheetViews>
    <sheetView workbookViewId="0">
      <pane ySplit="3" topLeftCell="A4" activePane="bottomLeft" state="frozen"/>
      <selection pane="bottomLeft" activeCell="C8" sqref="C8"/>
    </sheetView>
  </sheetViews>
  <sheetFormatPr baseColWidth="10" defaultRowHeight="16" x14ac:dyDescent="0.2"/>
  <cols>
    <col min="1" max="1" width="43.1640625" bestFit="1" customWidth="1"/>
    <col min="2" max="2" width="24.83203125" bestFit="1" customWidth="1"/>
    <col min="3" max="3" width="11.1640625" bestFit="1" customWidth="1"/>
    <col min="4" max="4" width="36.6640625" bestFit="1" customWidth="1"/>
    <col min="5" max="5" width="29.6640625" bestFit="1" customWidth="1"/>
  </cols>
  <sheetData>
    <row r="1" spans="1:5" ht="19" x14ac:dyDescent="0.25">
      <c r="A1" s="2" t="s">
        <v>0</v>
      </c>
    </row>
    <row r="3" spans="1:5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x14ac:dyDescent="0.2">
      <c r="A4" t="s">
        <v>6</v>
      </c>
      <c r="B4" t="s">
        <v>7</v>
      </c>
      <c r="C4" s="6">
        <v>36</v>
      </c>
      <c r="D4" t="s">
        <v>8</v>
      </c>
      <c r="E4" t="s">
        <v>9</v>
      </c>
    </row>
    <row r="5" spans="1:5" x14ac:dyDescent="0.2">
      <c r="A5" t="s">
        <v>6</v>
      </c>
      <c r="B5" t="s">
        <v>10</v>
      </c>
      <c r="C5" s="6">
        <v>64</v>
      </c>
      <c r="D5" t="s">
        <v>11</v>
      </c>
      <c r="E5" t="s">
        <v>9</v>
      </c>
    </row>
    <row r="6" spans="1:5" x14ac:dyDescent="0.2">
      <c r="A6" t="s">
        <v>6</v>
      </c>
      <c r="B6" t="s">
        <v>12</v>
      </c>
      <c r="C6" s="7">
        <v>20000</v>
      </c>
      <c r="D6" t="s">
        <v>13</v>
      </c>
      <c r="E6" t="s">
        <v>9</v>
      </c>
    </row>
    <row r="7" spans="1:5" x14ac:dyDescent="0.2">
      <c r="A7" t="s">
        <v>6</v>
      </c>
      <c r="B7" t="s">
        <v>14</v>
      </c>
      <c r="C7" s="7">
        <v>720</v>
      </c>
      <c r="D7" t="s">
        <v>15</v>
      </c>
      <c r="E7" t="s">
        <v>9</v>
      </c>
    </row>
    <row r="8" spans="1:5" x14ac:dyDescent="0.2">
      <c r="A8" t="s">
        <v>6</v>
      </c>
      <c r="B8" t="s">
        <v>16</v>
      </c>
      <c r="C8" s="8">
        <v>34.72</v>
      </c>
      <c r="D8" t="s">
        <v>17</v>
      </c>
      <c r="E8" t="s">
        <v>9</v>
      </c>
    </row>
    <row r="9" spans="1:5" x14ac:dyDescent="0.2">
      <c r="A9" t="s">
        <v>6</v>
      </c>
      <c r="B9" t="s">
        <v>18</v>
      </c>
      <c r="C9" s="6">
        <v>4</v>
      </c>
      <c r="D9" t="s">
        <v>19</v>
      </c>
      <c r="E9" t="s">
        <v>9</v>
      </c>
    </row>
    <row r="10" spans="1:5" x14ac:dyDescent="0.2">
      <c r="A10" t="s">
        <v>6</v>
      </c>
      <c r="B10" t="s">
        <v>20</v>
      </c>
      <c r="C10" s="6">
        <v>1440</v>
      </c>
      <c r="D10" t="s">
        <v>15</v>
      </c>
      <c r="E10" t="s">
        <v>9</v>
      </c>
    </row>
    <row r="11" spans="1:5" x14ac:dyDescent="0.2">
      <c r="A11" t="s">
        <v>6</v>
      </c>
      <c r="B11" t="s">
        <v>21</v>
      </c>
      <c r="C11" s="8">
        <v>17.36</v>
      </c>
      <c r="D11" t="s">
        <v>17</v>
      </c>
      <c r="E11" t="s">
        <v>9</v>
      </c>
    </row>
    <row r="12" spans="1:5" x14ac:dyDescent="0.2">
      <c r="A12" t="s">
        <v>22</v>
      </c>
      <c r="B12" t="s">
        <v>23</v>
      </c>
      <c r="C12" s="6">
        <v>20</v>
      </c>
      <c r="D12" t="s">
        <v>11</v>
      </c>
      <c r="E12" t="s">
        <v>9</v>
      </c>
    </row>
    <row r="13" spans="1:5" x14ac:dyDescent="0.2">
      <c r="A13" t="s">
        <v>22</v>
      </c>
      <c r="B13" t="s">
        <v>24</v>
      </c>
      <c r="C13" s="7">
        <v>8800</v>
      </c>
      <c r="D13" t="s">
        <v>25</v>
      </c>
      <c r="E13" t="s">
        <v>9</v>
      </c>
    </row>
    <row r="14" spans="1:5" x14ac:dyDescent="0.2">
      <c r="A14" t="s">
        <v>22</v>
      </c>
      <c r="B14" t="s">
        <v>26</v>
      </c>
      <c r="C14" s="10">
        <v>2.5</v>
      </c>
      <c r="D14" t="s">
        <v>27</v>
      </c>
      <c r="E14" t="s">
        <v>9</v>
      </c>
    </row>
    <row r="15" spans="1:5" x14ac:dyDescent="0.2">
      <c r="A15" t="s">
        <v>22</v>
      </c>
      <c r="B15" t="s">
        <v>28</v>
      </c>
      <c r="C15" s="7">
        <v>880</v>
      </c>
      <c r="D15" t="s">
        <v>25</v>
      </c>
      <c r="E15" t="s">
        <v>9</v>
      </c>
    </row>
    <row r="16" spans="1:5" x14ac:dyDescent="0.2">
      <c r="A16" t="s">
        <v>22</v>
      </c>
      <c r="B16" t="s">
        <v>29</v>
      </c>
      <c r="C16" s="7">
        <v>0.1</v>
      </c>
      <c r="D16" t="s">
        <v>30</v>
      </c>
      <c r="E16" t="s">
        <v>9</v>
      </c>
    </row>
    <row r="17" spans="1:5" x14ac:dyDescent="0.2">
      <c r="A17" t="s">
        <v>31</v>
      </c>
      <c r="B17" t="s">
        <v>32</v>
      </c>
      <c r="C17" s="9">
        <v>20</v>
      </c>
      <c r="D17" t="s">
        <v>11</v>
      </c>
      <c r="E17" t="s">
        <v>9</v>
      </c>
    </row>
    <row r="18" spans="1:5" x14ac:dyDescent="0.2">
      <c r="A18" t="s">
        <v>31</v>
      </c>
      <c r="B18" t="s">
        <v>33</v>
      </c>
      <c r="C18" s="11">
        <v>2094</v>
      </c>
      <c r="D18" t="s">
        <v>25</v>
      </c>
      <c r="E18" t="s">
        <v>9</v>
      </c>
    </row>
    <row r="19" spans="1:5" x14ac:dyDescent="0.2">
      <c r="A19" t="s">
        <v>31</v>
      </c>
      <c r="B19" t="s">
        <v>34</v>
      </c>
      <c r="C19" s="6">
        <v>0.83299999999999996</v>
      </c>
      <c r="D19" t="s">
        <v>27</v>
      </c>
      <c r="E19" t="s">
        <v>9</v>
      </c>
    </row>
    <row r="20" spans="1:5" x14ac:dyDescent="0.2">
      <c r="A20" t="s">
        <v>31</v>
      </c>
      <c r="B20" t="s">
        <v>35</v>
      </c>
      <c r="C20" s="7">
        <v>440</v>
      </c>
      <c r="D20" t="s">
        <v>25</v>
      </c>
      <c r="E20" t="s">
        <v>9</v>
      </c>
    </row>
    <row r="21" spans="1:5" x14ac:dyDescent="0.2">
      <c r="A21" t="s">
        <v>31</v>
      </c>
      <c r="B21" t="s">
        <v>36</v>
      </c>
      <c r="C21" s="7">
        <v>2.5000000000000001E-2</v>
      </c>
      <c r="D21" t="s">
        <v>30</v>
      </c>
      <c r="E21" t="s">
        <v>9</v>
      </c>
    </row>
    <row r="22" spans="1:5" x14ac:dyDescent="0.2">
      <c r="A22" t="s">
        <v>37</v>
      </c>
      <c r="B22" t="s">
        <v>38</v>
      </c>
      <c r="C22" s="9">
        <v>30</v>
      </c>
      <c r="D22" t="s">
        <v>11</v>
      </c>
      <c r="E22" t="s">
        <v>9</v>
      </c>
    </row>
    <row r="23" spans="1:5" x14ac:dyDescent="0.2">
      <c r="A23" t="s">
        <v>37</v>
      </c>
      <c r="B23" t="s">
        <v>39</v>
      </c>
      <c r="C23" s="11">
        <v>2700</v>
      </c>
      <c r="D23" t="s">
        <v>25</v>
      </c>
      <c r="E23" t="s">
        <v>9</v>
      </c>
    </row>
    <row r="24" spans="1:5" x14ac:dyDescent="0.2">
      <c r="A24" t="s">
        <v>37</v>
      </c>
      <c r="B24" t="s">
        <v>40</v>
      </c>
      <c r="C24" s="7">
        <v>1.25</v>
      </c>
      <c r="D24" t="s">
        <v>27</v>
      </c>
      <c r="E24" t="s">
        <v>9</v>
      </c>
    </row>
    <row r="25" spans="1:5" x14ac:dyDescent="0.2">
      <c r="A25" t="s">
        <v>37</v>
      </c>
      <c r="B25" t="s">
        <v>41</v>
      </c>
      <c r="C25" s="7">
        <v>880</v>
      </c>
      <c r="D25" t="s">
        <v>25</v>
      </c>
      <c r="E25" t="s">
        <v>9</v>
      </c>
    </row>
    <row r="26" spans="1:5" x14ac:dyDescent="0.2">
      <c r="A26" t="s">
        <v>37</v>
      </c>
      <c r="B26" t="s">
        <v>42</v>
      </c>
      <c r="C26" s="11">
        <v>1.2500000000000001E-2</v>
      </c>
      <c r="D26" t="s">
        <v>30</v>
      </c>
      <c r="E26" t="s">
        <v>9</v>
      </c>
    </row>
    <row r="28" spans="1:5" x14ac:dyDescent="0.2">
      <c r="A28" t="s">
        <v>43</v>
      </c>
      <c r="B28" t="s">
        <v>44</v>
      </c>
      <c r="C28" s="5">
        <v>1</v>
      </c>
      <c r="D28" t="s">
        <v>45</v>
      </c>
      <c r="E28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BCDC7-3B84-634F-9FD5-82699B6B4A1E}">
  <dimension ref="A1:H36"/>
  <sheetViews>
    <sheetView workbookViewId="0">
      <pane ySplit="4" topLeftCell="A5" activePane="bottomLeft" state="frozen"/>
      <selection pane="bottomLeft"/>
    </sheetView>
  </sheetViews>
  <sheetFormatPr baseColWidth="10" defaultRowHeight="16" x14ac:dyDescent="0.2"/>
  <cols>
    <col min="1" max="1" width="71.33203125" bestFit="1" customWidth="1"/>
    <col min="2" max="2" width="10.33203125" bestFit="1" customWidth="1"/>
    <col min="3" max="3" width="9.5" bestFit="1" customWidth="1"/>
    <col min="4" max="4" width="11.1640625" bestFit="1" customWidth="1"/>
    <col min="7" max="7" width="32" bestFit="1" customWidth="1"/>
    <col min="8" max="8" width="5.6640625" bestFit="1" customWidth="1"/>
  </cols>
  <sheetData>
    <row r="1" spans="1:8" ht="19" x14ac:dyDescent="0.25">
      <c r="A1" s="2" t="s">
        <v>47</v>
      </c>
    </row>
    <row r="3" spans="1:8" x14ac:dyDescent="0.2">
      <c r="A3" s="12" t="s">
        <v>48</v>
      </c>
      <c r="G3" s="14" t="s">
        <v>53</v>
      </c>
    </row>
    <row r="4" spans="1:8" x14ac:dyDescent="0.2">
      <c r="A4" s="3" t="s">
        <v>49</v>
      </c>
      <c r="B4" s="3" t="s">
        <v>50</v>
      </c>
      <c r="C4" s="3" t="s">
        <v>51</v>
      </c>
      <c r="D4" s="3" t="s">
        <v>52</v>
      </c>
      <c r="G4" t="s">
        <v>54</v>
      </c>
      <c r="H4" s="19">
        <f>Optimization!$B$5</f>
        <v>10</v>
      </c>
    </row>
    <row r="5" spans="1:8" x14ac:dyDescent="0.2">
      <c r="A5">
        <v>0</v>
      </c>
      <c r="B5" s="13">
        <f>IF($A5&gt;BED_CAP_TOMATO,"",$A5*HRS_PER_BED_TOMATO*WEEKS*(1+DIM_PCT_TOMATO)^$A5)</f>
        <v>0</v>
      </c>
      <c r="C5" s="13">
        <f>IF($A5&gt;BED_CAP_CARROT,"",$A5*HRS_PER_BED_CARROT*WEEKS*(1+DIM_PCT_CARROT)^$A5)</f>
        <v>0</v>
      </c>
      <c r="D5" s="13">
        <f>IF($A5&gt;BED_CAP_MESCLUN,"",$A5*HRS_PER_BED_MESCLUN*WEEKS*(1+DIM_PCT_MESCLUN)^$A5)</f>
        <v>0</v>
      </c>
      <c r="G5" t="s">
        <v>55</v>
      </c>
      <c r="H5" s="19">
        <f>Optimization!$B$6</f>
        <v>20</v>
      </c>
    </row>
    <row r="6" spans="1:8" x14ac:dyDescent="0.2">
      <c r="A6">
        <v>1</v>
      </c>
      <c r="B6" s="13">
        <f>IF($A6&gt;BED_CAP_TOMATO,"",$A6*HRS_PER_BED_TOMATO*WEEKS*(1+DIM_PCT_TOMATO)^$A6)</f>
        <v>99.000000000000014</v>
      </c>
      <c r="C6" s="13">
        <f>IF($A6&gt;BED_CAP_CARROT,"",$A6*HRS_PER_BED_CARROT*WEEKS*(1+DIM_PCT_CARROT)^$A6)</f>
        <v>30.737699999999997</v>
      </c>
      <c r="D6" s="13">
        <f>IF($A6&gt;BED_CAP_MESCLUN,"",$A6*HRS_PER_BED_MESCLUN*WEEKS*(1+DIM_PCT_MESCLUN)^$A6)</f>
        <v>45.5625</v>
      </c>
      <c r="G6" t="s">
        <v>56</v>
      </c>
      <c r="H6" s="19">
        <f>Optimization!$B$7</f>
        <v>30</v>
      </c>
    </row>
    <row r="7" spans="1:8" x14ac:dyDescent="0.2">
      <c r="A7">
        <v>2</v>
      </c>
      <c r="B7" s="13">
        <f>IF($A7&gt;BED_CAP_TOMATO,"",$A7*HRS_PER_BED_TOMATO*WEEKS*(1+DIM_PCT_TOMATO)^$A7)</f>
        <v>217.80000000000004</v>
      </c>
      <c r="C7" s="13">
        <f>IF($A7&gt;BED_CAP_CARROT,"",$A7*HRS_PER_BED_CARROT*WEEKS*(1+DIM_PCT_CARROT)^$A7)</f>
        <v>63.012284999999991</v>
      </c>
      <c r="D7" s="13">
        <f>IF($A7&gt;BED_CAP_MESCLUN,"",$A7*HRS_PER_BED_MESCLUN*WEEKS*(1+DIM_PCT_MESCLUN)^$A7)</f>
        <v>92.264062499999994</v>
      </c>
      <c r="G7" t="s">
        <v>57</v>
      </c>
      <c r="H7" s="13">
        <f>$H$4*HRS_PER_BED_TOMATO*WEEKS*(1+DIM_PCT_TOMATO)^$H$4</f>
        <v>2334.3682140900019</v>
      </c>
    </row>
    <row r="8" spans="1:8" x14ac:dyDescent="0.2">
      <c r="A8">
        <v>3</v>
      </c>
      <c r="B8" s="13">
        <f>IF($A8&gt;BED_CAP_TOMATO,"",$A8*HRS_PER_BED_TOMATO*WEEKS*(1+DIM_PCT_TOMATO)^$A8)</f>
        <v>359.37000000000012</v>
      </c>
      <c r="C8" s="13">
        <f>IF($A8&gt;BED_CAP_CARROT,"",$A8*HRS_PER_BED_CARROT*WEEKS*(1+DIM_PCT_CARROT)^$A8)</f>
        <v>96.881388187499979</v>
      </c>
      <c r="D8" s="13">
        <f>IF($A8&gt;BED_CAP_MESCLUN,"",$A8*HRS_PER_BED_MESCLUN*WEEKS*(1+DIM_PCT_MESCLUN)^$A8)</f>
        <v>140.12604492187498</v>
      </c>
      <c r="G8" t="s">
        <v>58</v>
      </c>
      <c r="H8" s="13">
        <f>$H$5*HRS_PER_BED_CARROT*WEEKS*(1+DIM_PCT_CARROT)^$H$5</f>
        <v>982.77659622856766</v>
      </c>
    </row>
    <row r="9" spans="1:8" x14ac:dyDescent="0.2">
      <c r="A9">
        <v>4</v>
      </c>
      <c r="B9" s="13">
        <f>IF($A9&gt;BED_CAP_TOMATO,"",$A9*HRS_PER_BED_TOMATO*WEEKS*(1+DIM_PCT_TOMATO)^$A9)</f>
        <v>527.07600000000014</v>
      </c>
      <c r="C9" s="13">
        <f>IF($A9&gt;BED_CAP_CARROT,"",$A9*HRS_PER_BED_CARROT*WEEKS*(1+DIM_PCT_CARROT)^$A9)</f>
        <v>132.40456385624998</v>
      </c>
      <c r="D9" s="13">
        <f>IF($A9&gt;BED_CAP_MESCLUN,"",$A9*HRS_PER_BED_MESCLUN*WEEKS*(1+DIM_PCT_MESCLUN)^$A9)</f>
        <v>189.17016064453125</v>
      </c>
      <c r="G9" t="s">
        <v>59</v>
      </c>
      <c r="H9" s="13">
        <f>$H$6*HRS_PER_BED_MESCLUN*WEEKS*(1+DIM_PCT_MESCLUN)^$H$6</f>
        <v>1959.6780360096488</v>
      </c>
    </row>
    <row r="10" spans="1:8" x14ac:dyDescent="0.2">
      <c r="A10">
        <v>5</v>
      </c>
      <c r="B10" s="13">
        <f>IF($A10&gt;BED_CAP_TOMATO,"",$A10*HRS_PER_BED_TOMATO*WEEKS*(1+DIM_PCT_TOMATO)^$A10)</f>
        <v>724.72950000000026</v>
      </c>
      <c r="C10" s="13">
        <f>IF($A10&gt;BED_CAP_CARROT,"",$A10*HRS_PER_BED_CARROT*WEEKS*(1+DIM_PCT_CARROT)^$A10)</f>
        <v>169.64334744082026</v>
      </c>
      <c r="D10" s="13">
        <f>IF($A10&gt;BED_CAP_MESCLUN,"",$A10*HRS_PER_BED_MESCLUN*WEEKS*(1+DIM_PCT_MESCLUN)^$A10)</f>
        <v>239.41848456573481</v>
      </c>
      <c r="G10" t="s">
        <v>60</v>
      </c>
      <c r="H10" s="13">
        <f>SUM($H$7:$H$9)</f>
        <v>5276.8228463282185</v>
      </c>
    </row>
    <row r="11" spans="1:8" x14ac:dyDescent="0.2">
      <c r="A11">
        <v>6</v>
      </c>
      <c r="B11" s="13">
        <f>IF($A11&gt;BED_CAP_TOMATO,"",$A11*HRS_PER_BED_TOMATO*WEEKS*(1+DIM_PCT_TOMATO)^$A11)</f>
        <v>956.64294000000041</v>
      </c>
      <c r="C11" s="13">
        <f>IF($A11&gt;BED_CAP_CARROT,"",$A11*HRS_PER_BED_CARROT*WEEKS*(1+DIM_PCT_CARROT)^$A11)</f>
        <v>208.66131735220887</v>
      </c>
      <c r="D11" s="13">
        <f>IF($A11&gt;BED_CAP_MESCLUN,"",$A11*HRS_PER_BED_MESCLUN*WEEKS*(1+DIM_PCT_MESCLUN)^$A11)</f>
        <v>290.89345874736784</v>
      </c>
      <c r="G11" t="s">
        <v>61</v>
      </c>
      <c r="H11" s="13">
        <f>MIN($H$10,FARMER_HOURS)</f>
        <v>720</v>
      </c>
    </row>
    <row r="12" spans="1:8" x14ac:dyDescent="0.2">
      <c r="A12">
        <v>7</v>
      </c>
      <c r="B12" s="13">
        <f>IF($A12&gt;BED_CAP_TOMATO,"",$A12*HRS_PER_BED_TOMATO*WEEKS*(1+DIM_PCT_TOMATO)^$A12)</f>
        <v>1227.6917730000007</v>
      </c>
      <c r="C12" s="13">
        <f>IF($A12&gt;BED_CAP_CARROT,"",$A12*HRS_PER_BED_CARROT*WEEKS*(1+DIM_PCT_CARROT)^$A12)</f>
        <v>249.52415866701648</v>
      </c>
      <c r="D12" s="13">
        <f>IF($A12&gt;BED_CAP_MESCLUN,"",$A12*HRS_PER_BED_MESCLUN*WEEKS*(1+DIM_PCT_MESCLUN)^$A12)</f>
        <v>343.61789814532818</v>
      </c>
      <c r="G12" t="s">
        <v>62</v>
      </c>
      <c r="H12" s="13">
        <f>MAX(0,$H$10-FARMER_HOURS)</f>
        <v>4556.8228463282185</v>
      </c>
    </row>
    <row r="13" spans="1:8" x14ac:dyDescent="0.2">
      <c r="A13">
        <v>8</v>
      </c>
      <c r="B13" s="13">
        <f>IF($A13&gt;BED_CAP_TOMATO,"",$A13*HRS_PER_BED_TOMATO*WEEKS*(1+DIM_PCT_TOMATO)^$A13)</f>
        <v>1543.3839432000009</v>
      </c>
      <c r="C13" s="13">
        <f>IF($A13&gt;BED_CAP_CARROT,"",$A13*HRS_PER_BED_CARROT*WEEKS*(1+DIM_PCT_CARROT)^$A13)</f>
        <v>292.29972872421928</v>
      </c>
      <c r="D13" s="13">
        <f>IF($A13&gt;BED_CAP_MESCLUN,"",$A13*HRS_PER_BED_MESCLUN*WEEKS*(1+DIM_PCT_MESCLUN)^$A13)</f>
        <v>397.61499642530839</v>
      </c>
      <c r="G13" t="s">
        <v>63</v>
      </c>
      <c r="H13" s="16">
        <f>$H$12/TEMP_HOURS_PER_WORKER</f>
        <v>3.1644603099501518</v>
      </c>
    </row>
    <row r="14" spans="1:8" x14ac:dyDescent="0.2">
      <c r="A14">
        <v>9</v>
      </c>
      <c r="B14" s="13">
        <f>IF($A14&gt;BED_CAP_TOMATO,"",$A14*HRS_PER_BED_TOMATO*WEEKS*(1+DIM_PCT_TOMATO)^$A14)</f>
        <v>1909.9376297100011</v>
      </c>
      <c r="C14" s="13">
        <f>IF($A14&gt;BED_CAP_CARROT,"",$A14*HRS_PER_BED_CARROT*WEEKS*(1+DIM_PCT_CARROT)^$A14)</f>
        <v>337.05812468511533</v>
      </c>
      <c r="D14" s="13">
        <f>IF($A14&gt;BED_CAP_MESCLUN,"",$A14*HRS_PER_BED_MESCLUN*WEEKS*(1+DIM_PCT_MESCLUN)^$A14)</f>
        <v>452.90833186570285</v>
      </c>
      <c r="G14" t="s">
        <v>64</v>
      </c>
      <c r="H14" s="16">
        <f>IF(LABOR_MODE=1,$H$13,ROUNDUP($H$13,0))</f>
        <v>3.1644603099501518</v>
      </c>
    </row>
    <row r="15" spans="1:8" x14ac:dyDescent="0.2">
      <c r="A15">
        <v>10</v>
      </c>
      <c r="B15" s="13">
        <f>IF($A15&gt;BED_CAP_TOMATO,"",$A15*HRS_PER_BED_TOMATO*WEEKS*(1+DIM_PCT_TOMATO)^$A15)</f>
        <v>2334.3682140900019</v>
      </c>
      <c r="C15" s="13">
        <f>IF($A15&gt;BED_CAP_CARROT,"",$A15*HRS_PER_BED_CARROT*WEEKS*(1+DIM_PCT_CARROT)^$A15)</f>
        <v>383.87175311360357</v>
      </c>
      <c r="D15" s="13">
        <f>IF($A15&gt;BED_CAP_MESCLUN,"",$A15*HRS_PER_BED_MESCLUN*WEEKS*(1+DIM_PCT_MESCLUN)^$A15)</f>
        <v>509.52187334891573</v>
      </c>
      <c r="G15" t="s">
        <v>65</v>
      </c>
      <c r="H15" s="16">
        <f>IF(LABOR_MODE=1,$H$12,$H$14*TEMP_HOURS_PER_WORKER)</f>
        <v>4556.8228463282185</v>
      </c>
    </row>
    <row r="16" spans="1:8" x14ac:dyDescent="0.2">
      <c r="A16">
        <v>11</v>
      </c>
      <c r="B16" s="13">
        <f>IF($A16&gt;BED_CAP_TOMATO,"",$A16*HRS_PER_BED_TOMATO*WEEKS*(1+DIM_PCT_TOMATO)^$A16)</f>
        <v>2824.5855390489023</v>
      </c>
      <c r="C16" s="13">
        <f>IF($A16&gt;BED_CAP_CARROT,"",$A16*HRS_PER_BED_CARROT*WEEKS*(1+DIM_PCT_CARROT)^$A16)</f>
        <v>432.81540163558799</v>
      </c>
      <c r="D16" s="13">
        <f>IF($A16&gt;BED_CAP_MESCLUN,"",$A16*HRS_PER_BED_MESCLUN*WEEKS*(1+DIM_PCT_MESCLUN)^$A16)</f>
        <v>567.47998644235474</v>
      </c>
      <c r="G16" t="s">
        <v>66</v>
      </c>
      <c r="H16" s="17">
        <f>$H$11*FARMER_WAGE</f>
        <v>24998.399999999998</v>
      </c>
    </row>
    <row r="17" spans="1:8" x14ac:dyDescent="0.2">
      <c r="A17">
        <v>12</v>
      </c>
      <c r="B17" s="13">
        <f>IF($A17&gt;BED_CAP_TOMATO,"",$A17*HRS_PER_BED_TOMATO*WEEKS*(1+DIM_PCT_TOMATO)^$A17)</f>
        <v>3389.502646858683</v>
      </c>
      <c r="C17" s="13">
        <f>IF($A17&gt;BED_CAP_CARROT,"",$A17*HRS_PER_BED_CARROT*WEEKS*(1+DIM_PCT_CARROT)^$A17)</f>
        <v>483.96631273797556</v>
      </c>
      <c r="D17" s="13">
        <f>IF($A17&gt;BED_CAP_MESCLUN,"",$A17*HRS_PER_BED_MESCLUN*WEEKS*(1+DIM_PCT_MESCLUN)^$A17)</f>
        <v>626.80743957041921</v>
      </c>
      <c r="G17" t="s">
        <v>67</v>
      </c>
      <c r="H17" s="17">
        <f>$H$15*TEMP_WAGE</f>
        <v>79106.444612257867</v>
      </c>
    </row>
    <row r="18" spans="1:8" x14ac:dyDescent="0.2">
      <c r="A18">
        <v>13</v>
      </c>
      <c r="B18" s="13">
        <f>IF($A18&gt;BED_CAP_TOMATO,"",$A18*HRS_PER_BED_TOMATO*WEEKS*(1+DIM_PCT_TOMATO)^$A18)</f>
        <v>4039.1573208399304</v>
      </c>
      <c r="C18" s="13">
        <f>IF($A18&gt;BED_CAP_CARROT,"",$A18*HRS_PER_BED_CARROT*WEEKS*(1+DIM_PCT_CARROT)^$A18)</f>
        <v>537.4042597694604</v>
      </c>
      <c r="D18" s="13">
        <f>IF($A18&gt;BED_CAP_MESCLUN,"",$A18*HRS_PER_BED_MESCLUN*WEEKS*(1+DIM_PCT_MESCLUN)^$A18)</f>
        <v>687.52941027880343</v>
      </c>
      <c r="G18" t="s">
        <v>68</v>
      </c>
      <c r="H18" s="17">
        <f>$H$16+$H$17</f>
        <v>104104.84461225786</v>
      </c>
    </row>
    <row r="19" spans="1:8" x14ac:dyDescent="0.2">
      <c r="A19">
        <v>14</v>
      </c>
      <c r="B19" s="13">
        <f>IF($A19&gt;BED_CAP_TOMATO,"",$A19*HRS_PER_BED_TOMATO*WEEKS*(1+DIM_PCT_TOMATO)^$A19)</f>
        <v>4784.8479031488414</v>
      </c>
      <c r="C19" s="13">
        <f>IF($A19&gt;BED_CAP_CARROT,"",$A19*HRS_PER_BED_CARROT*WEEKS*(1+DIM_PCT_CARROT)^$A19)</f>
        <v>593.2116252070582</v>
      </c>
      <c r="D19" s="13">
        <f>IF($A19&gt;BED_CAP_MESCLUN,"",$A19*HRS_PER_BED_MESCLUN*WEEKS*(1+DIM_PCT_MESCLUN)^$A19)</f>
        <v>749.67149159246469</v>
      </c>
      <c r="G19" t="s">
        <v>69</v>
      </c>
      <c r="H19" s="18">
        <f>IF($H$10=0,0,$H$18/$H$10)</f>
        <v>19.728698052597565</v>
      </c>
    </row>
    <row r="20" spans="1:8" x14ac:dyDescent="0.2">
      <c r="A20">
        <v>15</v>
      </c>
      <c r="B20" s="13">
        <f>IF($A20&gt;BED_CAP_TOMATO,"",$A20*HRS_PER_BED_TOMATO*WEEKS*(1+DIM_PCT_TOMATO)^$A20)</f>
        <v>5639.2850287111351</v>
      </c>
      <c r="C20" s="13">
        <f>IF($A20&gt;BED_CAP_CARROT,"",$A20*HRS_PER_BED_CARROT*WEEKS*(1+DIM_PCT_CARROT)^$A20)</f>
        <v>651.47348125418</v>
      </c>
      <c r="D20" s="13">
        <f>IF($A20&gt;BED_CAP_MESCLUN,"",$A20*HRS_PER_BED_MESCLUN*WEEKS*(1+DIM_PCT_MESCLUN)^$A20)</f>
        <v>813.25969846861108</v>
      </c>
    </row>
    <row r="21" spans="1:8" x14ac:dyDescent="0.2">
      <c r="A21">
        <v>16</v>
      </c>
      <c r="B21" s="13">
        <f>IF($A21&gt;BED_CAP_TOMATO,"",$A21*HRS_PER_BED_TOMATO*WEEKS*(1+DIM_PCT_TOMATO)^$A21)</f>
        <v>6616.761100354398</v>
      </c>
      <c r="C21" s="13">
        <f>IF($A21&gt;BED_CAP_CARROT,"",$A21*HRS_PER_BED_CARROT*WEEKS*(1+DIM_PCT_CARROT)^$A21)</f>
        <v>712.27767283790342</v>
      </c>
      <c r="D21" s="13">
        <f>IF($A21&gt;BED_CAP_MESCLUN,"",$A21*HRS_PER_BED_MESCLUN*WEEKS*(1+DIM_PCT_MESCLUN)^$A21)</f>
        <v>878.32047434610013</v>
      </c>
    </row>
    <row r="22" spans="1:8" x14ac:dyDescent="0.2">
      <c r="A22">
        <v>17</v>
      </c>
      <c r="B22" s="13">
        <f>IF($A22&gt;BED_CAP_TOMATO,"",$A22*HRS_PER_BED_TOMATO*WEEKS*(1+DIM_PCT_TOMATO)^$A22)</f>
        <v>7733.3395360392033</v>
      </c>
      <c r="C22" s="13">
        <f>IF($A22&gt;BED_CAP_CARROT,"",$A22*HRS_PER_BED_CARROT*WEEKS*(1+DIM_PCT_CARROT)^$A22)</f>
        <v>775.71490307502916</v>
      </c>
      <c r="D22" s="13">
        <f>IF($A22&gt;BED_CAP_MESCLUN,"",$A22*HRS_PER_BED_MESCLUN*WEEKS*(1+DIM_PCT_MESCLUN)^$A22)</f>
        <v>944.88069779264049</v>
      </c>
    </row>
    <row r="23" spans="1:8" x14ac:dyDescent="0.2">
      <c r="A23">
        <v>18</v>
      </c>
      <c r="B23" s="13">
        <f>IF($A23&gt;BED_CAP_TOMATO,"",$A23*HRS_PER_BED_TOMATO*WEEKS*(1+DIM_PCT_TOMATO)^$A23)</f>
        <v>9007.0660478574246</v>
      </c>
      <c r="C23" s="13">
        <f>IF($A23&gt;BED_CAP_CARROT,"",$A23*HRS_PER_BED_CARROT*WEEKS*(1+DIM_PCT_CARROT)^$A23)</f>
        <v>841.87882127848752</v>
      </c>
      <c r="D23" s="13">
        <f>IF($A23&gt;BED_CAP_MESCLUN,"",$A23*HRS_PER_BED_MESCLUN*WEEKS*(1+DIM_PCT_MESCLUN)^$A23)</f>
        <v>1012.9676892512279</v>
      </c>
    </row>
    <row r="24" spans="1:8" x14ac:dyDescent="0.2">
      <c r="A24">
        <v>19</v>
      </c>
      <c r="B24" s="13">
        <f>IF($A24&gt;BED_CAP_TOMATO,"",$A24*HRS_PER_BED_TOMATO*WEEKS*(1+DIM_PCT_TOMATO)^$A24)</f>
        <v>10458.204466678902</v>
      </c>
      <c r="C24" s="13">
        <f>IF($A24&gt;BED_CAP_CARROT,"",$A24*HRS_PER_BED_CARROT*WEEKS*(1+DIM_PCT_CARROT)^$A24)</f>
        <v>910.86611357769698</v>
      </c>
      <c r="D24" s="13">
        <f>IF($A24&gt;BED_CAP_MESCLUN,"",$A24*HRS_PER_BED_MESCLUN*WEEKS*(1+DIM_PCT_MESCLUN)^$A24)</f>
        <v>1082.6092178872495</v>
      </c>
    </row>
    <row r="25" spans="1:8" x14ac:dyDescent="0.2">
      <c r="A25">
        <v>20</v>
      </c>
      <c r="B25" s="13">
        <f>IF($A25&gt;BED_CAP_TOMATO,"",$A25*HRS_PER_BED_TOMATO*WEEKS*(1+DIM_PCT_TOMATO)^$A25)</f>
        <v>12109.499908786096</v>
      </c>
      <c r="C25" s="13">
        <f>IF($A25&gt;BED_CAP_CARROT,"",$A25*HRS_PER_BED_CARROT*WEEKS*(1+DIM_PCT_CARROT)^$A25)</f>
        <v>982.77659622856766</v>
      </c>
      <c r="D25" s="13">
        <f>IF($A25&gt;BED_CAP_MESCLUN,"",$A25*HRS_PER_BED_MESCLUN*WEEKS*(1+DIM_PCT_MESCLUN)^$A25)</f>
        <v>1153.8335085377266</v>
      </c>
    </row>
    <row r="26" spans="1:8" x14ac:dyDescent="0.2">
      <c r="A26">
        <v>21</v>
      </c>
      <c r="B26" s="13" t="str">
        <f>IF($A26&gt;BED_CAP_TOMATO,"",$A26*HRS_PER_BED_TOMATO*WEEKS*(1+DIM_PCT_TOMATO)^$A26)</f>
        <v/>
      </c>
      <c r="C26" s="13" t="str">
        <f>IF($A26&gt;BED_CAP_CARROT,"",$A26*HRS_PER_BED_CARROT*WEEKS*(1+DIM_PCT_CARROT)^$A26)</f>
        <v/>
      </c>
      <c r="D26" s="13">
        <f>IF($A26&gt;BED_CAP_MESCLUN,"",$A26*HRS_PER_BED_MESCLUN*WEEKS*(1+DIM_PCT_MESCLUN)^$A26)</f>
        <v>1226.6692487641703</v>
      </c>
    </row>
    <row r="27" spans="1:8" x14ac:dyDescent="0.2">
      <c r="A27">
        <v>22</v>
      </c>
      <c r="B27" s="13" t="str">
        <f>IF($A27&gt;BED_CAP_TOMATO,"",$A27*HRS_PER_BED_TOMATO*WEEKS*(1+DIM_PCT_TOMATO)^$A27)</f>
        <v/>
      </c>
      <c r="C27" s="13" t="str">
        <f>IF($A27&gt;BED_CAP_CARROT,"",$A27*HRS_PER_BED_CARROT*WEEKS*(1+DIM_PCT_CARROT)^$A27)</f>
        <v/>
      </c>
      <c r="D27" s="13">
        <f>IF($A27&gt;BED_CAP_MESCLUN,"",$A27*HRS_PER_BED_MESCLUN*WEEKS*(1+DIM_PCT_MESCLUN)^$A27)</f>
        <v>1301.1455960105666</v>
      </c>
    </row>
    <row r="28" spans="1:8" x14ac:dyDescent="0.2">
      <c r="A28">
        <v>23</v>
      </c>
      <c r="B28" s="13" t="str">
        <f>IF($A28&gt;BED_CAP_TOMATO,"",$A28*HRS_PER_BED_TOMATO*WEEKS*(1+DIM_PCT_TOMATO)^$A28)</f>
        <v/>
      </c>
      <c r="C28" s="13" t="str">
        <f>IF($A28&gt;BED_CAP_CARROT,"",$A28*HRS_PER_BED_CARROT*WEEKS*(1+DIM_PCT_CARROT)^$A28)</f>
        <v/>
      </c>
      <c r="D28" s="13">
        <f>IF($A28&gt;BED_CAP_MESCLUN,"",$A28*HRS_PER_BED_MESCLUN*WEEKS*(1+DIM_PCT_MESCLUN)^$A28)</f>
        <v>1377.292184868003</v>
      </c>
    </row>
    <row r="29" spans="1:8" x14ac:dyDescent="0.2">
      <c r="A29">
        <v>24</v>
      </c>
      <c r="B29" s="13" t="str">
        <f>IF($A29&gt;BED_CAP_TOMATO,"",$A29*HRS_PER_BED_TOMATO*WEEKS*(1+DIM_PCT_TOMATO)^$A29)</f>
        <v/>
      </c>
      <c r="C29" s="13" t="str">
        <f>IF($A29&gt;BED_CAP_CARROT,"",$A29*HRS_PER_BED_CARROT*WEEKS*(1+DIM_PCT_CARROT)^$A29)</f>
        <v/>
      </c>
      <c r="D29" s="13">
        <f>IF($A29&gt;BED_CAP_MESCLUN,"",$A29*HRS_PER_BED_MESCLUN*WEEKS*(1+DIM_PCT_MESCLUN)^$A29)</f>
        <v>1455.1391344474989</v>
      </c>
    </row>
    <row r="30" spans="1:8" x14ac:dyDescent="0.2">
      <c r="A30">
        <v>25</v>
      </c>
      <c r="B30" s="13" t="str">
        <f>IF($A30&gt;BED_CAP_TOMATO,"",$A30*HRS_PER_BED_TOMATO*WEEKS*(1+DIM_PCT_TOMATO)^$A30)</f>
        <v/>
      </c>
      <c r="C30" s="13" t="str">
        <f>IF($A30&gt;BED_CAP_CARROT,"",$A30*HRS_PER_BED_CARROT*WEEKS*(1+DIM_PCT_CARROT)^$A30)</f>
        <v/>
      </c>
      <c r="D30" s="13">
        <f>IF($A30&gt;BED_CAP_MESCLUN,"",$A30*HRS_PER_BED_MESCLUN*WEEKS*(1+DIM_PCT_MESCLUN)^$A30)</f>
        <v>1534.7170558625965</v>
      </c>
    </row>
    <row r="31" spans="1:8" x14ac:dyDescent="0.2">
      <c r="A31">
        <v>26</v>
      </c>
      <c r="B31" s="13" t="str">
        <f>IF($A31&gt;BED_CAP_TOMATO,"",$A31*HRS_PER_BED_TOMATO*WEEKS*(1+DIM_PCT_TOMATO)^$A31)</f>
        <v/>
      </c>
      <c r="C31" s="13" t="str">
        <f>IF($A31&gt;BED_CAP_CARROT,"",$A31*HRS_PER_BED_CARROT*WEEKS*(1+DIM_PCT_CARROT)^$A31)</f>
        <v/>
      </c>
      <c r="D31" s="13">
        <f>IF($A31&gt;BED_CAP_MESCLUN,"",$A31*HRS_PER_BED_MESCLUN*WEEKS*(1+DIM_PCT_MESCLUN)^$A31)</f>
        <v>1616.0570598233144</v>
      </c>
    </row>
    <row r="32" spans="1:8" x14ac:dyDescent="0.2">
      <c r="A32">
        <v>27</v>
      </c>
      <c r="B32" s="13" t="str">
        <f>IF($A32&gt;BED_CAP_TOMATO,"",$A32*HRS_PER_BED_TOMATO*WEEKS*(1+DIM_PCT_TOMATO)^$A32)</f>
        <v/>
      </c>
      <c r="C32" s="13" t="str">
        <f>IF($A32&gt;BED_CAP_CARROT,"",$A32*HRS_PER_BED_CARROT*WEEKS*(1+DIM_PCT_CARROT)^$A32)</f>
        <v/>
      </c>
      <c r="D32" s="13">
        <f>IF($A32&gt;BED_CAP_MESCLUN,"",$A32*HRS_PER_BED_MESCLUN*WEEKS*(1+DIM_PCT_MESCLUN)^$A32)</f>
        <v>1699.1907643430709</v>
      </c>
    </row>
    <row r="33" spans="1:4" x14ac:dyDescent="0.2">
      <c r="A33">
        <v>28</v>
      </c>
      <c r="B33" s="13" t="str">
        <f>IF($A33&gt;BED_CAP_TOMATO,"",$A33*HRS_PER_BED_TOMATO*WEEKS*(1+DIM_PCT_TOMATO)^$A33)</f>
        <v/>
      </c>
      <c r="C33" s="13" t="str">
        <f>IF($A33&gt;BED_CAP_CARROT,"",$A33*HRS_PER_BED_CARROT*WEEKS*(1+DIM_PCT_CARROT)^$A33)</f>
        <v/>
      </c>
      <c r="D33" s="13">
        <f>IF($A33&gt;BED_CAP_MESCLUN,"",$A33*HRS_PER_BED_MESCLUN*WEEKS*(1+DIM_PCT_MESCLUN)^$A33)</f>
        <v>1784.1503025602246</v>
      </c>
    </row>
    <row r="34" spans="1:4" x14ac:dyDescent="0.2">
      <c r="A34">
        <v>29</v>
      </c>
      <c r="B34" s="13" t="str">
        <f>IF($A34&gt;BED_CAP_TOMATO,"",$A34*HRS_PER_BED_TOMATO*WEEKS*(1+DIM_PCT_TOMATO)^$A34)</f>
        <v/>
      </c>
      <c r="C34" s="13" t="str">
        <f>IF($A34&gt;BED_CAP_CARROT,"",$A34*HRS_PER_BED_CARROT*WEEKS*(1+DIM_PCT_CARROT)^$A34)</f>
        <v/>
      </c>
      <c r="D34" s="13">
        <f>IF($A34&gt;BED_CAP_MESCLUN,"",$A34*HRS_PER_BED_MESCLUN*WEEKS*(1+DIM_PCT_MESCLUN)^$A34)</f>
        <v>1870.9683306758782</v>
      </c>
    </row>
    <row r="35" spans="1:4" x14ac:dyDescent="0.2">
      <c r="A35">
        <v>30</v>
      </c>
      <c r="B35" s="13" t="str">
        <f>IF($A35&gt;BED_CAP_TOMATO,"",$A35*HRS_PER_BED_TOMATO*WEEKS*(1+DIM_PCT_TOMATO)^$A35)</f>
        <v/>
      </c>
      <c r="C35" s="13" t="str">
        <f>IF($A35&gt;BED_CAP_CARROT,"",$A35*HRS_PER_BED_CARROT*WEEKS*(1+DIM_PCT_CARROT)^$A35)</f>
        <v/>
      </c>
      <c r="D35" s="13">
        <f>IF($A35&gt;BED_CAP_MESCLUN,"",$A35*HRS_PER_BED_MESCLUN*WEEKS*(1+DIM_PCT_MESCLUN)^$A35)</f>
        <v>1959.6780360096488</v>
      </c>
    </row>
    <row r="36" spans="1:4" x14ac:dyDescent="0.2">
      <c r="A36">
        <v>31</v>
      </c>
      <c r="B36" s="13" t="str">
        <f>IF($A36&gt;BED_CAP_TOMATO,"",$A36*HRS_PER_BED_TOMATO*WEEKS*(1+DIM_PCT_TOMATO)^$A36)</f>
        <v/>
      </c>
      <c r="C36" s="13" t="str">
        <f>IF($A36&gt;BED_CAP_CARROT,"",$A36*HRS_PER_BED_CARROT*WEEKS*(1+DIM_PCT_CARROT)^$A36)</f>
        <v/>
      </c>
      <c r="D36" s="13" t="str">
        <f>IF($A36&gt;BED_CAP_MESCLUN,"",$A36*HRS_PER_BED_MESCLUN*WEEKS*(1+DIM_PCT_MESCLUN)^$A36)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05C80-B65E-B94C-8980-C7C0E17D255B}">
  <dimension ref="A1:V84"/>
  <sheetViews>
    <sheetView tabSelected="1" workbookViewId="0">
      <pane xSplit="1" topLeftCell="C1" activePane="topRight" state="frozen"/>
      <selection pane="topRight"/>
    </sheetView>
  </sheetViews>
  <sheetFormatPr baseColWidth="10" defaultRowHeight="16" x14ac:dyDescent="0.2"/>
  <cols>
    <col min="1" max="12" width="12" customWidth="1"/>
    <col min="14" max="22" width="12" customWidth="1"/>
  </cols>
  <sheetData>
    <row r="1" spans="1:22" ht="19" x14ac:dyDescent="0.25">
      <c r="A1" s="2" t="s">
        <v>70</v>
      </c>
      <c r="N1" s="2" t="s">
        <v>86</v>
      </c>
    </row>
    <row r="2" spans="1:22" x14ac:dyDescent="0.2">
      <c r="A2" s="12" t="s">
        <v>71</v>
      </c>
      <c r="N2" s="12" t="s">
        <v>87</v>
      </c>
    </row>
    <row r="3" spans="1:22" x14ac:dyDescent="0.2">
      <c r="A3" s="14" t="s">
        <v>72</v>
      </c>
      <c r="N3" s="21" t="s">
        <v>88</v>
      </c>
    </row>
    <row r="4" spans="1:22" ht="34" x14ac:dyDescent="0.2">
      <c r="A4" s="20" t="s">
        <v>49</v>
      </c>
      <c r="B4" s="20" t="s">
        <v>73</v>
      </c>
      <c r="C4" s="20" t="s">
        <v>74</v>
      </c>
      <c r="D4" s="20" t="s">
        <v>75</v>
      </c>
      <c r="E4" s="20" t="s">
        <v>76</v>
      </c>
      <c r="F4" s="20" t="s">
        <v>77</v>
      </c>
      <c r="G4" s="20" t="s">
        <v>78</v>
      </c>
      <c r="H4" s="20" t="s">
        <v>79</v>
      </c>
      <c r="I4" s="20" t="s">
        <v>80</v>
      </c>
      <c r="J4" s="20" t="s">
        <v>81</v>
      </c>
      <c r="K4" s="20" t="s">
        <v>82</v>
      </c>
      <c r="L4" s="20" t="s">
        <v>83</v>
      </c>
      <c r="N4" s="22" t="s">
        <v>49</v>
      </c>
      <c r="O4" s="22" t="s">
        <v>89</v>
      </c>
      <c r="P4" s="22" t="s">
        <v>90</v>
      </c>
      <c r="Q4" s="22" t="s">
        <v>91</v>
      </c>
      <c r="R4" s="22" t="s">
        <v>75</v>
      </c>
      <c r="S4" s="22" t="s">
        <v>92</v>
      </c>
      <c r="T4" s="22" t="s">
        <v>80</v>
      </c>
      <c r="U4" s="22" t="s">
        <v>81</v>
      </c>
      <c r="V4" s="22" t="s">
        <v>82</v>
      </c>
    </row>
    <row r="5" spans="1:22" x14ac:dyDescent="0.2">
      <c r="A5">
        <v>0</v>
      </c>
      <c r="B5" s="13" cm="1">
        <f t="array" ref="B5">INDEX(Labor!$B$5:$B$36,$A5+1)</f>
        <v>0</v>
      </c>
      <c r="C5" s="13">
        <f>MIN($B5,FARMER_HOURS)</f>
        <v>0</v>
      </c>
      <c r="D5" s="13">
        <f>MAX(0,$B5-FARMER_HOURS)</f>
        <v>0</v>
      </c>
      <c r="E5" s="17">
        <f>$C5*FARMER_WAGE+IF(LABOR_MODE=1,$D5,ROUNDUP($D5/TEMP_HOURS_PER_WORKER,0)*TEMP_HOURS_PER_WORKER)*TEMP_WAGE</f>
        <v>0</v>
      </c>
      <c r="F5" s="18">
        <f>IF($B5=0,0,$E5/$B5)</f>
        <v>0</v>
      </c>
      <c r="G5" s="17">
        <f>$A5*FERT_TOMATO</f>
        <v>0</v>
      </c>
      <c r="H5" s="17">
        <f>$A5*PRICE_TOMATO</f>
        <v>0</v>
      </c>
      <c r="I5" s="17" t="str">
        <f>IF($A5=0,"",$E5-$E4)</f>
        <v/>
      </c>
      <c r="J5" s="17" t="str">
        <f>IF($A5=0,"",$I5+FERT_TOMATO)</f>
        <v/>
      </c>
      <c r="K5" s="17" t="str">
        <f>IF($A5=0,"",PRICE_TOMATO-$J5)</f>
        <v/>
      </c>
      <c r="L5" s="17">
        <f>$H5-$E5-$G5-FIXED_COST</f>
        <v>-20000</v>
      </c>
      <c r="N5">
        <v>0</v>
      </c>
      <c r="O5" s="13">
        <f>$N5*HRS_PER_BED_TOMATO*WEEKS*(1+DIM_PCT_TOMATO)^$N5</f>
        <v>0</v>
      </c>
      <c r="P5" s="13">
        <f>Labor!$H$8+Labor!$H$9</f>
        <v>2942.4546322382166</v>
      </c>
      <c r="Q5" s="13">
        <f>$O5+$P5</f>
        <v>2942.4546322382166</v>
      </c>
      <c r="R5" s="13">
        <f>MAX(0,$Q5-FARMER_HOURS)</f>
        <v>2222.4546322382166</v>
      </c>
      <c r="S5" s="17">
        <f>MIN($Q5,FARMER_HOURS)*FARMER_WAGE+IF(LABOR_MODE=1,$R5,ROUNDUP($R5/TEMP_HOURS_PER_WORKER,0)*TEMP_HOURS_PER_WORKER)*TEMP_WAGE</f>
        <v>63580.212415655435</v>
      </c>
      <c r="T5" s="17" t="str">
        <f>IF($N5=0,"",$S5-$S4)</f>
        <v/>
      </c>
      <c r="U5" s="17" t="str">
        <f>IF($N5=0,"",$T5+FERT_TOMATO)</f>
        <v/>
      </c>
      <c r="V5" s="17" t="str">
        <f>IF($N5=0,"",PRICE_TOMATO-$U5)</f>
        <v/>
      </c>
    </row>
    <row r="6" spans="1:22" x14ac:dyDescent="0.2">
      <c r="A6">
        <v>1</v>
      </c>
      <c r="B6" s="13" cm="1">
        <f t="array" ref="B6">INDEX(Labor!$B$5:$B$36,$A6+1)</f>
        <v>99.000000000000014</v>
      </c>
      <c r="C6" s="13">
        <f>MIN($B6,FARMER_HOURS)</f>
        <v>99.000000000000014</v>
      </c>
      <c r="D6" s="13">
        <f>MAX(0,$B6-FARMER_HOURS)</f>
        <v>0</v>
      </c>
      <c r="E6" s="17">
        <f>$C6*FARMER_WAGE+IF(LABOR_MODE=1,$D6,ROUNDUP($D6/TEMP_HOURS_PER_WORKER,0)*TEMP_HOURS_PER_WORKER)*TEMP_WAGE</f>
        <v>3437.28</v>
      </c>
      <c r="F6" s="18">
        <f t="shared" ref="F6:F25" si="0">IF($B6=0,0,$E6/$B6)</f>
        <v>34.72</v>
      </c>
      <c r="G6" s="17">
        <f>$A6*FERT_TOMATO</f>
        <v>880</v>
      </c>
      <c r="H6" s="17">
        <f>$A6*PRICE_TOMATO</f>
        <v>8800</v>
      </c>
      <c r="I6" s="17">
        <f t="shared" ref="I6:I25" si="1">IF($A6=0,"",$E6-$E5)</f>
        <v>3437.28</v>
      </c>
      <c r="J6" s="17">
        <f>IF($A6=0,"",$I6+FERT_TOMATO)</f>
        <v>4317.2800000000007</v>
      </c>
      <c r="K6" s="17">
        <f>IF($A6=0,"",PRICE_TOMATO-$J6)</f>
        <v>4482.7199999999993</v>
      </c>
      <c r="L6" s="17">
        <f>$H6-$E6-$G6-FIXED_COST</f>
        <v>-15517.28</v>
      </c>
      <c r="N6">
        <v>1</v>
      </c>
      <c r="O6" s="13">
        <f>$N6*HRS_PER_BED_TOMATO*WEEKS*(1+DIM_PCT_TOMATO)^$N6</f>
        <v>99.000000000000014</v>
      </c>
      <c r="P6" s="13">
        <f>Labor!$H$8+Labor!$H$9</f>
        <v>2942.4546322382166</v>
      </c>
      <c r="Q6" s="13">
        <f t="shared" ref="Q6:Q26" si="2">$O6+$P6</f>
        <v>3041.4546322382166</v>
      </c>
      <c r="R6" s="13">
        <f>MAX(0,$Q6-FARMER_HOURS)</f>
        <v>2321.4546322382166</v>
      </c>
      <c r="S6" s="17">
        <f>MIN($Q6,FARMER_HOURS)*FARMER_WAGE+IF(LABOR_MODE=1,$R6,ROUNDUP($R6/TEMP_HOURS_PER_WORKER,0)*TEMP_HOURS_PER_WORKER)*TEMP_WAGE</f>
        <v>65298.852415655434</v>
      </c>
      <c r="T6" s="17">
        <f t="shared" ref="T6:T26" si="3">IF($N6=0,"",$S6-$S5)</f>
        <v>1718.6399999999994</v>
      </c>
      <c r="U6" s="17">
        <f>IF($N6=0,"",$T6+FERT_TOMATO)</f>
        <v>2598.6399999999994</v>
      </c>
      <c r="V6" s="17">
        <f>IF($N6=0,"",PRICE_TOMATO-$U6)</f>
        <v>6201.3600000000006</v>
      </c>
    </row>
    <row r="7" spans="1:22" x14ac:dyDescent="0.2">
      <c r="A7">
        <v>2</v>
      </c>
      <c r="B7" s="13" cm="1">
        <f t="array" ref="B7">INDEX(Labor!$B$5:$B$36,$A7+1)</f>
        <v>217.80000000000004</v>
      </c>
      <c r="C7" s="13">
        <f>MIN($B7,FARMER_HOURS)</f>
        <v>217.80000000000004</v>
      </c>
      <c r="D7" s="13">
        <f>MAX(0,$B7-FARMER_HOURS)</f>
        <v>0</v>
      </c>
      <c r="E7" s="17">
        <f>$C7*FARMER_WAGE+IF(LABOR_MODE=1,$D7,ROUNDUP($D7/TEMP_HOURS_PER_WORKER,0)*TEMP_HOURS_PER_WORKER)*TEMP_WAGE</f>
        <v>7562.0160000000014</v>
      </c>
      <c r="F7" s="18">
        <f t="shared" si="0"/>
        <v>34.72</v>
      </c>
      <c r="G7" s="17">
        <f>$A7*FERT_TOMATO</f>
        <v>1760</v>
      </c>
      <c r="H7" s="17">
        <f>$A7*PRICE_TOMATO</f>
        <v>17600</v>
      </c>
      <c r="I7" s="17">
        <f t="shared" si="1"/>
        <v>4124.7360000000008</v>
      </c>
      <c r="J7" s="17">
        <f>IF($A7=0,"",$I7+FERT_TOMATO)</f>
        <v>5004.7360000000008</v>
      </c>
      <c r="K7" s="17">
        <f>IF($A7=0,"",PRICE_TOMATO-$J7)</f>
        <v>3795.2639999999992</v>
      </c>
      <c r="L7" s="17">
        <f>$H7-$E7-$G7-FIXED_COST</f>
        <v>-11722.016000000001</v>
      </c>
      <c r="N7">
        <v>2</v>
      </c>
      <c r="O7" s="13">
        <f>$N7*HRS_PER_BED_TOMATO*WEEKS*(1+DIM_PCT_TOMATO)^$N7</f>
        <v>217.80000000000004</v>
      </c>
      <c r="P7" s="13">
        <f>Labor!$H$8+Labor!$H$9</f>
        <v>2942.4546322382166</v>
      </c>
      <c r="Q7" s="13">
        <f t="shared" si="2"/>
        <v>3160.2546322382168</v>
      </c>
      <c r="R7" s="13">
        <f>MAX(0,$Q7-FARMER_HOURS)</f>
        <v>2440.2546322382168</v>
      </c>
      <c r="S7" s="17">
        <f>MIN($Q7,FARMER_HOURS)*FARMER_WAGE+IF(LABOR_MODE=1,$R7,ROUNDUP($R7/TEMP_HOURS_PER_WORKER,0)*TEMP_HOURS_PER_WORKER)*TEMP_WAGE</f>
        <v>67361.220415655436</v>
      </c>
      <c r="T7" s="17">
        <f t="shared" si="3"/>
        <v>2062.3680000000022</v>
      </c>
      <c r="U7" s="17">
        <f>IF($N7=0,"",$T7+FERT_TOMATO)</f>
        <v>2942.3680000000022</v>
      </c>
      <c r="V7" s="17">
        <f>IF($N7=0,"",PRICE_TOMATO-$U7)</f>
        <v>5857.6319999999978</v>
      </c>
    </row>
    <row r="8" spans="1:22" x14ac:dyDescent="0.2">
      <c r="A8">
        <v>3</v>
      </c>
      <c r="B8" s="13" cm="1">
        <f t="array" ref="B8">INDEX(Labor!$B$5:$B$36,$A8+1)</f>
        <v>359.37000000000012</v>
      </c>
      <c r="C8" s="13">
        <f>MIN($B8,FARMER_HOURS)</f>
        <v>359.37000000000012</v>
      </c>
      <c r="D8" s="13">
        <f>MAX(0,$B8-FARMER_HOURS)</f>
        <v>0</v>
      </c>
      <c r="E8" s="17">
        <f>$C8*FARMER_WAGE+IF(LABOR_MODE=1,$D8,ROUNDUP($D8/TEMP_HOURS_PER_WORKER,0)*TEMP_HOURS_PER_WORKER)*TEMP_WAGE</f>
        <v>12477.326400000004</v>
      </c>
      <c r="F8" s="18">
        <f t="shared" si="0"/>
        <v>34.72</v>
      </c>
      <c r="G8" s="17">
        <f>$A8*FERT_TOMATO</f>
        <v>2640</v>
      </c>
      <c r="H8" s="17">
        <f>$A8*PRICE_TOMATO</f>
        <v>26400</v>
      </c>
      <c r="I8" s="17">
        <f t="shared" si="1"/>
        <v>4915.3104000000021</v>
      </c>
      <c r="J8" s="17">
        <f>IF($A8=0,"",$I8+FERT_TOMATO)</f>
        <v>5795.3104000000021</v>
      </c>
      <c r="K8" s="17">
        <f>IF($A8=0,"",PRICE_TOMATO-$J8)</f>
        <v>3004.6895999999979</v>
      </c>
      <c r="L8" s="17">
        <f>$H8-$E8-$G8-FIXED_COST</f>
        <v>-8717.3264000000036</v>
      </c>
      <c r="N8">
        <v>3</v>
      </c>
      <c r="O8" s="13">
        <f>$N8*HRS_PER_BED_TOMATO*WEEKS*(1+DIM_PCT_TOMATO)^$N8</f>
        <v>359.37000000000012</v>
      </c>
      <c r="P8" s="13">
        <f>Labor!$H$8+Labor!$H$9</f>
        <v>2942.4546322382166</v>
      </c>
      <c r="Q8" s="13">
        <f t="shared" si="2"/>
        <v>3301.8246322382165</v>
      </c>
      <c r="R8" s="13">
        <f>MAX(0,$Q8-FARMER_HOURS)</f>
        <v>2581.8246322382165</v>
      </c>
      <c r="S8" s="17">
        <f>MIN($Q8,FARMER_HOURS)*FARMER_WAGE+IF(LABOR_MODE=1,$R8,ROUNDUP($R8/TEMP_HOURS_PER_WORKER,0)*TEMP_HOURS_PER_WORKER)*TEMP_WAGE</f>
        <v>69818.87561565543</v>
      </c>
      <c r="T8" s="17">
        <f t="shared" si="3"/>
        <v>2457.6551999999938</v>
      </c>
      <c r="U8" s="17">
        <f>IF($N8=0,"",$T8+FERT_TOMATO)</f>
        <v>3337.6551999999938</v>
      </c>
      <c r="V8" s="17">
        <f>IF($N8=0,"",PRICE_TOMATO-$U8)</f>
        <v>5462.3448000000062</v>
      </c>
    </row>
    <row r="9" spans="1:22" x14ac:dyDescent="0.2">
      <c r="A9">
        <v>4</v>
      </c>
      <c r="B9" s="13" cm="1">
        <f t="array" ref="B9">INDEX(Labor!$B$5:$B$36,$A9+1)</f>
        <v>527.07600000000014</v>
      </c>
      <c r="C9" s="13">
        <f>MIN($B9,FARMER_HOURS)</f>
        <v>527.07600000000014</v>
      </c>
      <c r="D9" s="13">
        <f>MAX(0,$B9-FARMER_HOURS)</f>
        <v>0</v>
      </c>
      <c r="E9" s="17">
        <f>$C9*FARMER_WAGE+IF(LABOR_MODE=1,$D9,ROUNDUP($D9/TEMP_HOURS_PER_WORKER,0)*TEMP_HOURS_PER_WORKER)*TEMP_WAGE</f>
        <v>18300.078720000005</v>
      </c>
      <c r="F9" s="18">
        <f t="shared" si="0"/>
        <v>34.72</v>
      </c>
      <c r="G9" s="17">
        <f>$A9*FERT_TOMATO</f>
        <v>3520</v>
      </c>
      <c r="H9" s="17">
        <f>$A9*PRICE_TOMATO</f>
        <v>35200</v>
      </c>
      <c r="I9" s="17">
        <f t="shared" si="1"/>
        <v>5822.7523200000014</v>
      </c>
      <c r="J9" s="17">
        <f>IF($A9=0,"",$I9+FERT_TOMATO)</f>
        <v>6702.7523200000014</v>
      </c>
      <c r="K9" s="17">
        <f>IF($A9=0,"",PRICE_TOMATO-$J9)</f>
        <v>2097.2476799999986</v>
      </c>
      <c r="L9" s="17">
        <f>$H9-$E9-$G9-FIXED_COST</f>
        <v>-6620.078720000005</v>
      </c>
      <c r="N9">
        <v>4</v>
      </c>
      <c r="O9" s="13">
        <f>$N9*HRS_PER_BED_TOMATO*WEEKS*(1+DIM_PCT_TOMATO)^$N9</f>
        <v>527.07600000000014</v>
      </c>
      <c r="P9" s="13">
        <f>Labor!$H$8+Labor!$H$9</f>
        <v>2942.4546322382166</v>
      </c>
      <c r="Q9" s="13">
        <f t="shared" si="2"/>
        <v>3469.5306322382166</v>
      </c>
      <c r="R9" s="13">
        <f>MAX(0,$Q9-FARMER_HOURS)</f>
        <v>2749.5306322382166</v>
      </c>
      <c r="S9" s="17">
        <f>MIN($Q9,FARMER_HOURS)*FARMER_WAGE+IF(LABOR_MODE=1,$R9,ROUNDUP($R9/TEMP_HOURS_PER_WORKER,0)*TEMP_HOURS_PER_WORKER)*TEMP_WAGE</f>
        <v>72730.251775655444</v>
      </c>
      <c r="T9" s="17">
        <f t="shared" si="3"/>
        <v>2911.3761600000144</v>
      </c>
      <c r="U9" s="17">
        <f>IF($N9=0,"",$T9+FERT_TOMATO)</f>
        <v>3791.3761600000144</v>
      </c>
      <c r="V9" s="17">
        <f>IF($N9=0,"",PRICE_TOMATO-$U9)</f>
        <v>5008.6238399999856</v>
      </c>
    </row>
    <row r="10" spans="1:22" x14ac:dyDescent="0.2">
      <c r="A10">
        <v>5</v>
      </c>
      <c r="B10" s="13" cm="1">
        <f t="array" ref="B10">INDEX(Labor!$B$5:$B$36,$A10+1)</f>
        <v>724.72950000000026</v>
      </c>
      <c r="C10" s="13">
        <f>MIN($B10,FARMER_HOURS)</f>
        <v>720</v>
      </c>
      <c r="D10" s="13">
        <f>MAX(0,$B10-FARMER_HOURS)</f>
        <v>4.7295000000002574</v>
      </c>
      <c r="E10" s="17">
        <f>$C10*FARMER_WAGE+IF(LABOR_MODE=1,$D10,ROUNDUP($D10/TEMP_HOURS_PER_WORKER,0)*TEMP_HOURS_PER_WORKER)*TEMP_WAGE</f>
        <v>25080.504120000001</v>
      </c>
      <c r="F10" s="18">
        <f t="shared" si="0"/>
        <v>34.606710669291083</v>
      </c>
      <c r="G10" s="17">
        <f>$A10*FERT_TOMATO</f>
        <v>4400</v>
      </c>
      <c r="H10" s="17">
        <f>$A10*PRICE_TOMATO</f>
        <v>44000</v>
      </c>
      <c r="I10" s="17">
        <f t="shared" si="1"/>
        <v>6780.4253999999964</v>
      </c>
      <c r="J10" s="17">
        <f>IF($A10=0,"",$I10+FERT_TOMATO)</f>
        <v>7660.4253999999964</v>
      </c>
      <c r="K10" s="17">
        <f>IF($A10=0,"",PRICE_TOMATO-$J10)</f>
        <v>1139.5746000000036</v>
      </c>
      <c r="L10" s="17">
        <f>$H10-$E10-$G10-FIXED_COST</f>
        <v>-5480.5041200000014</v>
      </c>
      <c r="N10">
        <v>5</v>
      </c>
      <c r="O10" s="13">
        <f>$N10*HRS_PER_BED_TOMATO*WEEKS*(1+DIM_PCT_TOMATO)^$N10</f>
        <v>724.72950000000026</v>
      </c>
      <c r="P10" s="13">
        <f>Labor!$H$8+Labor!$H$9</f>
        <v>2942.4546322382166</v>
      </c>
      <c r="Q10" s="13">
        <f t="shared" si="2"/>
        <v>3667.184132238217</v>
      </c>
      <c r="R10" s="13">
        <f>MAX(0,$Q10-FARMER_HOURS)</f>
        <v>2947.184132238217</v>
      </c>
      <c r="S10" s="17">
        <f>MIN($Q10,FARMER_HOURS)*FARMER_WAGE+IF(LABOR_MODE=1,$R10,ROUNDUP($R10/TEMP_HOURS_PER_WORKER,0)*TEMP_HOURS_PER_WORKER)*TEMP_WAGE</f>
        <v>76161.51653565545</v>
      </c>
      <c r="T10" s="17">
        <f t="shared" si="3"/>
        <v>3431.2647600000055</v>
      </c>
      <c r="U10" s="17">
        <f>IF($N10=0,"",$T10+FERT_TOMATO)</f>
        <v>4311.2647600000055</v>
      </c>
      <c r="V10" s="17">
        <f>IF($N10=0,"",PRICE_TOMATO-$U10)</f>
        <v>4488.7352399999945</v>
      </c>
    </row>
    <row r="11" spans="1:22" x14ac:dyDescent="0.2">
      <c r="A11">
        <v>6</v>
      </c>
      <c r="B11" s="13" cm="1">
        <f t="array" ref="B11">INDEX(Labor!$B$5:$B$36,$A11+1)</f>
        <v>956.64294000000041</v>
      </c>
      <c r="C11" s="13">
        <f>MIN($B11,FARMER_HOURS)</f>
        <v>720</v>
      </c>
      <c r="D11" s="13">
        <f>MAX(0,$B11-FARMER_HOURS)</f>
        <v>236.64294000000041</v>
      </c>
      <c r="E11" s="17">
        <f>$C11*FARMER_WAGE+IF(LABOR_MODE=1,$D11,ROUNDUP($D11/TEMP_HOURS_PER_WORKER,0)*TEMP_HOURS_PER_WORKER)*TEMP_WAGE</f>
        <v>29106.521438400006</v>
      </c>
      <c r="F11" s="18">
        <f t="shared" si="0"/>
        <v>30.425689900978096</v>
      </c>
      <c r="G11" s="17">
        <f>$A11*FERT_TOMATO</f>
        <v>5280</v>
      </c>
      <c r="H11" s="17">
        <f>$A11*PRICE_TOMATO</f>
        <v>52800</v>
      </c>
      <c r="I11" s="17">
        <f t="shared" si="1"/>
        <v>4026.017318400005</v>
      </c>
      <c r="J11" s="17">
        <f>IF($A11=0,"",$I11+FERT_TOMATO)</f>
        <v>4906.017318400005</v>
      </c>
      <c r="K11" s="17">
        <f>IF($A11=0,"",PRICE_TOMATO-$J11)</f>
        <v>3893.982681599995</v>
      </c>
      <c r="L11" s="17">
        <f>$H11-$E11-$G11-FIXED_COST</f>
        <v>-1586.5214384000064</v>
      </c>
      <c r="N11">
        <v>6</v>
      </c>
      <c r="O11" s="13">
        <f>$N11*HRS_PER_BED_TOMATO*WEEKS*(1+DIM_PCT_TOMATO)^$N11</f>
        <v>956.64294000000041</v>
      </c>
      <c r="P11" s="13">
        <f>Labor!$H$8+Labor!$H$9</f>
        <v>2942.4546322382166</v>
      </c>
      <c r="Q11" s="13">
        <f t="shared" si="2"/>
        <v>3899.0975722382173</v>
      </c>
      <c r="R11" s="13">
        <f>MAX(0,$Q11-FARMER_HOURS)</f>
        <v>3179.0975722382173</v>
      </c>
      <c r="S11" s="17">
        <f>MIN($Q11,FARMER_HOURS)*FARMER_WAGE+IF(LABOR_MODE=1,$R11,ROUNDUP($R11/TEMP_HOURS_PER_WORKER,0)*TEMP_HOURS_PER_WORKER)*TEMP_WAGE</f>
        <v>80187.533854055451</v>
      </c>
      <c r="T11" s="17">
        <f t="shared" si="3"/>
        <v>4026.0173184000014</v>
      </c>
      <c r="U11" s="17">
        <f>IF($N11=0,"",$T11+FERT_TOMATO)</f>
        <v>4906.0173184000014</v>
      </c>
      <c r="V11" s="17">
        <f>IF($N11=0,"",PRICE_TOMATO-$U11)</f>
        <v>3893.9826815999986</v>
      </c>
    </row>
    <row r="12" spans="1:22" x14ac:dyDescent="0.2">
      <c r="A12">
        <v>7</v>
      </c>
      <c r="B12" s="13" cm="1">
        <f t="array" ref="B12">INDEX(Labor!$B$5:$B$36,$A12+1)</f>
        <v>1227.6917730000007</v>
      </c>
      <c r="C12" s="13">
        <f>MIN($B12,FARMER_HOURS)</f>
        <v>720</v>
      </c>
      <c r="D12" s="13">
        <f>MAX(0,$B12-FARMER_HOURS)</f>
        <v>507.69177300000069</v>
      </c>
      <c r="E12" s="17">
        <f>$C12*FARMER_WAGE+IF(LABOR_MODE=1,$D12,ROUNDUP($D12/TEMP_HOURS_PER_WORKER,0)*TEMP_HOURS_PER_WORKER)*TEMP_WAGE</f>
        <v>33811.929179280007</v>
      </c>
      <c r="F12" s="18">
        <f t="shared" si="0"/>
        <v>27.541057065697213</v>
      </c>
      <c r="G12" s="17">
        <f>$A12*FERT_TOMATO</f>
        <v>6160</v>
      </c>
      <c r="H12" s="17">
        <f>$A12*PRICE_TOMATO</f>
        <v>61600</v>
      </c>
      <c r="I12" s="17">
        <f t="shared" si="1"/>
        <v>4705.4077408800003</v>
      </c>
      <c r="J12" s="17">
        <f>IF($A12=0,"",$I12+FERT_TOMATO)</f>
        <v>5585.4077408800003</v>
      </c>
      <c r="K12" s="17">
        <f>IF($A12=0,"",PRICE_TOMATO-$J12)</f>
        <v>3214.5922591199997</v>
      </c>
      <c r="L12" s="17">
        <f>$H12-$E12-$G12-FIXED_COST</f>
        <v>1628.0708207199932</v>
      </c>
      <c r="N12">
        <v>7</v>
      </c>
      <c r="O12" s="13">
        <f>$N12*HRS_PER_BED_TOMATO*WEEKS*(1+DIM_PCT_TOMATO)^$N12</f>
        <v>1227.6917730000007</v>
      </c>
      <c r="P12" s="13">
        <f>Labor!$H$8+Labor!$H$9</f>
        <v>2942.4546322382166</v>
      </c>
      <c r="Q12" s="13">
        <f t="shared" si="2"/>
        <v>4170.1464052382171</v>
      </c>
      <c r="R12" s="13">
        <f>MAX(0,$Q12-FARMER_HOURS)</f>
        <v>3450.1464052382171</v>
      </c>
      <c r="S12" s="17">
        <f>MIN($Q12,FARMER_HOURS)*FARMER_WAGE+IF(LABOR_MODE=1,$R12,ROUNDUP($R12/TEMP_HOURS_PER_WORKER,0)*TEMP_HOURS_PER_WORKER)*TEMP_WAGE</f>
        <v>84892.941594935444</v>
      </c>
      <c r="T12" s="17">
        <f t="shared" si="3"/>
        <v>4705.4077408799931</v>
      </c>
      <c r="U12" s="17">
        <f>IF($N12=0,"",$T12+FERT_TOMATO)</f>
        <v>5585.4077408799931</v>
      </c>
      <c r="V12" s="17">
        <f>IF($N12=0,"",PRICE_TOMATO-$U12)</f>
        <v>3214.5922591200069</v>
      </c>
    </row>
    <row r="13" spans="1:22" x14ac:dyDescent="0.2">
      <c r="A13">
        <v>8</v>
      </c>
      <c r="B13" s="13" cm="1">
        <f t="array" ref="B13">INDEX(Labor!$B$5:$B$36,$A13+1)</f>
        <v>1543.3839432000009</v>
      </c>
      <c r="C13" s="13">
        <f>MIN($B13,FARMER_HOURS)</f>
        <v>720</v>
      </c>
      <c r="D13" s="13">
        <f>MAX(0,$B13-FARMER_HOURS)</f>
        <v>823.38394320000089</v>
      </c>
      <c r="E13" s="17">
        <f>$C13*FARMER_WAGE+IF(LABOR_MODE=1,$D13,ROUNDUP($D13/TEMP_HOURS_PER_WORKER,0)*TEMP_HOURS_PER_WORKER)*TEMP_WAGE</f>
        <v>39292.345253952015</v>
      </c>
      <c r="F13" s="18">
        <f t="shared" si="0"/>
        <v>25.458568120440969</v>
      </c>
      <c r="G13" s="17">
        <f>$A13*FERT_TOMATO</f>
        <v>7040</v>
      </c>
      <c r="H13" s="17">
        <f>$A13*PRICE_TOMATO</f>
        <v>70400</v>
      </c>
      <c r="I13" s="17">
        <f t="shared" si="1"/>
        <v>5480.4160746720081</v>
      </c>
      <c r="J13" s="17">
        <f>IF($A13=0,"",$I13+FERT_TOMATO)</f>
        <v>6360.4160746720081</v>
      </c>
      <c r="K13" s="17">
        <f>IF($A13=0,"",PRICE_TOMATO-$J13)</f>
        <v>2439.5839253279919</v>
      </c>
      <c r="L13" s="17">
        <f>$H13-$E13-$G13-FIXED_COST</f>
        <v>4067.6547460479851</v>
      </c>
      <c r="N13">
        <v>8</v>
      </c>
      <c r="O13" s="13">
        <f>$N13*HRS_PER_BED_TOMATO*WEEKS*(1+DIM_PCT_TOMATO)^$N13</f>
        <v>1543.3839432000009</v>
      </c>
      <c r="P13" s="13">
        <f>Labor!$H$8+Labor!$H$9</f>
        <v>2942.4546322382166</v>
      </c>
      <c r="Q13" s="13">
        <f t="shared" si="2"/>
        <v>4485.838575438218</v>
      </c>
      <c r="R13" s="13">
        <f>MAX(0,$Q13-FARMER_HOURS)</f>
        <v>3765.838575438218</v>
      </c>
      <c r="S13" s="17">
        <f>MIN($Q13,FARMER_HOURS)*FARMER_WAGE+IF(LABOR_MODE=1,$R13,ROUNDUP($R13/TEMP_HOURS_PER_WORKER,0)*TEMP_HOURS_PER_WORKER)*TEMP_WAGE</f>
        <v>90373.35766960746</v>
      </c>
      <c r="T13" s="17">
        <f t="shared" si="3"/>
        <v>5480.4160746720154</v>
      </c>
      <c r="U13" s="17">
        <f>IF($N13=0,"",$T13+FERT_TOMATO)</f>
        <v>6360.4160746720154</v>
      </c>
      <c r="V13" s="17">
        <f>IF($N13=0,"",PRICE_TOMATO-$U13)</f>
        <v>2439.5839253279846</v>
      </c>
    </row>
    <row r="14" spans="1:22" x14ac:dyDescent="0.2">
      <c r="A14">
        <v>9</v>
      </c>
      <c r="B14" s="13" cm="1">
        <f t="array" ref="B14">INDEX(Labor!$B$5:$B$36,$A14+1)</f>
        <v>1909.9376297100011</v>
      </c>
      <c r="C14" s="13">
        <f>MIN($B14,FARMER_HOURS)</f>
        <v>720</v>
      </c>
      <c r="D14" s="13">
        <f>MAX(0,$B14-FARMER_HOURS)</f>
        <v>1189.9376297100011</v>
      </c>
      <c r="E14" s="17">
        <f>$C14*FARMER_WAGE+IF(LABOR_MODE=1,$D14,ROUNDUP($D14/TEMP_HOURS_PER_WORKER,0)*TEMP_HOURS_PER_WORKER)*TEMP_WAGE</f>
        <v>45655.717251765614</v>
      </c>
      <c r="F14" s="18">
        <f t="shared" si="0"/>
        <v>23.904297471063405</v>
      </c>
      <c r="G14" s="17">
        <f>$A14*FERT_TOMATO</f>
        <v>7920</v>
      </c>
      <c r="H14" s="17">
        <f>$A14*PRICE_TOMATO</f>
        <v>79200</v>
      </c>
      <c r="I14" s="17">
        <f t="shared" si="1"/>
        <v>6363.3719978135996</v>
      </c>
      <c r="J14" s="17">
        <f>IF($A14=0,"",$I14+FERT_TOMATO)</f>
        <v>7243.3719978135996</v>
      </c>
      <c r="K14" s="17">
        <f>IF($A14=0,"",PRICE_TOMATO-$J14)</f>
        <v>1556.6280021864004</v>
      </c>
      <c r="L14" s="17">
        <f>$H14-$E14-$G14-FIXED_COST</f>
        <v>5624.2827482343855</v>
      </c>
      <c r="N14">
        <v>9</v>
      </c>
      <c r="O14" s="13">
        <f>$N14*HRS_PER_BED_TOMATO*WEEKS*(1+DIM_PCT_TOMATO)^$N14</f>
        <v>1909.9376297100011</v>
      </c>
      <c r="P14" s="13">
        <f>Labor!$H$8+Labor!$H$9</f>
        <v>2942.4546322382166</v>
      </c>
      <c r="Q14" s="13">
        <f t="shared" si="2"/>
        <v>4852.3922619482182</v>
      </c>
      <c r="R14" s="13">
        <f>MAX(0,$Q14-FARMER_HOURS)</f>
        <v>4132.3922619482182</v>
      </c>
      <c r="S14" s="17">
        <f>MIN($Q14,FARMER_HOURS)*FARMER_WAGE+IF(LABOR_MODE=1,$R14,ROUNDUP($R14/TEMP_HOURS_PER_WORKER,0)*TEMP_HOURS_PER_WORKER)*TEMP_WAGE</f>
        <v>96736.729667421067</v>
      </c>
      <c r="T14" s="17">
        <f t="shared" si="3"/>
        <v>6363.3719978136069</v>
      </c>
      <c r="U14" s="17">
        <f>IF($N14=0,"",$T14+FERT_TOMATO)</f>
        <v>7243.3719978136069</v>
      </c>
      <c r="V14" s="17">
        <f>IF($N14=0,"",PRICE_TOMATO-$U14)</f>
        <v>1556.6280021863931</v>
      </c>
    </row>
    <row r="15" spans="1:22" x14ac:dyDescent="0.2">
      <c r="A15">
        <v>10</v>
      </c>
      <c r="B15" s="13" cm="1">
        <f t="array" ref="B15">INDEX(Labor!$B$5:$B$36,$A15+1)</f>
        <v>2334.3682140900019</v>
      </c>
      <c r="C15" s="13">
        <f>MIN($B15,FARMER_HOURS)</f>
        <v>720</v>
      </c>
      <c r="D15" s="13">
        <f>MAX(0,$B15-FARMER_HOURS)</f>
        <v>1614.3682140900019</v>
      </c>
      <c r="E15" s="17">
        <f>$C15*FARMER_WAGE+IF(LABOR_MODE=1,$D15,ROUNDUP($D15/TEMP_HOURS_PER_WORKER,0)*TEMP_HOURS_PER_WORKER)*TEMP_WAGE</f>
        <v>53023.83219660243</v>
      </c>
      <c r="F15" s="18">
        <f t="shared" si="0"/>
        <v>22.714425203597333</v>
      </c>
      <c r="G15" s="17">
        <f>$A15*FERT_TOMATO</f>
        <v>8800</v>
      </c>
      <c r="H15" s="17">
        <f>$A15*PRICE_TOMATO</f>
        <v>88000</v>
      </c>
      <c r="I15" s="17">
        <f t="shared" si="1"/>
        <v>7368.114944836816</v>
      </c>
      <c r="J15" s="17">
        <f>IF($A15=0,"",$I15+FERT_TOMATO)</f>
        <v>8248.114944836816</v>
      </c>
      <c r="K15" s="17">
        <f>IF($A15=0,"",PRICE_TOMATO-$J15)</f>
        <v>551.88505516318401</v>
      </c>
      <c r="L15" s="17">
        <f>$H15-$E15-$G15-FIXED_COST</f>
        <v>6176.1678033975695</v>
      </c>
      <c r="N15">
        <v>10</v>
      </c>
      <c r="O15" s="13">
        <f>$N15*HRS_PER_BED_TOMATO*WEEKS*(1+DIM_PCT_TOMATO)^$N15</f>
        <v>2334.3682140900019</v>
      </c>
      <c r="P15" s="13">
        <f>Labor!$H$8+Labor!$H$9</f>
        <v>2942.4546322382166</v>
      </c>
      <c r="Q15" s="13">
        <f t="shared" si="2"/>
        <v>5276.8228463282185</v>
      </c>
      <c r="R15" s="13">
        <f>MAX(0,$Q15-FARMER_HOURS)</f>
        <v>4556.8228463282185</v>
      </c>
      <c r="S15" s="17">
        <f>MIN($Q15,FARMER_HOURS)*FARMER_WAGE+IF(LABOR_MODE=1,$R15,ROUNDUP($R15/TEMP_HOURS_PER_WORKER,0)*TEMP_HOURS_PER_WORKER)*TEMP_WAGE</f>
        <v>104104.84461225786</v>
      </c>
      <c r="T15" s="17">
        <f t="shared" si="3"/>
        <v>7368.1149448367942</v>
      </c>
      <c r="U15" s="17">
        <f>IF($N15=0,"",$T15+FERT_TOMATO)</f>
        <v>8248.1149448367942</v>
      </c>
      <c r="V15" s="17">
        <f>IF($N15=0,"",PRICE_TOMATO-$U15)</f>
        <v>551.88505516320583</v>
      </c>
    </row>
    <row r="16" spans="1:22" x14ac:dyDescent="0.2">
      <c r="A16">
        <v>11</v>
      </c>
      <c r="B16" s="13" cm="1">
        <f t="array" ref="B16">INDEX(Labor!$B$5:$B$36,$A16+1)</f>
        <v>2824.5855390489023</v>
      </c>
      <c r="C16" s="13">
        <f>MIN($B16,FARMER_HOURS)</f>
        <v>720</v>
      </c>
      <c r="D16" s="13">
        <f>MAX(0,$B16-FARMER_HOURS)</f>
        <v>2104.5855390489023</v>
      </c>
      <c r="E16" s="17">
        <f>$C16*FARMER_WAGE+IF(LABOR_MODE=1,$D16,ROUNDUP($D16/TEMP_HOURS_PER_WORKER,0)*TEMP_HOURS_PER_WORKER)*TEMP_WAGE</f>
        <v>61534.004957888945</v>
      </c>
      <c r="F16" s="18">
        <f t="shared" si="0"/>
        <v>21.785144796361433</v>
      </c>
      <c r="G16" s="17">
        <f>$A16*FERT_TOMATO</f>
        <v>9680</v>
      </c>
      <c r="H16" s="17">
        <f>$A16*PRICE_TOMATO</f>
        <v>96800</v>
      </c>
      <c r="I16" s="17">
        <f t="shared" si="1"/>
        <v>8510.1727612865143</v>
      </c>
      <c r="J16" s="17">
        <f>IF($A16=0,"",$I16+FERT_TOMATO)</f>
        <v>9390.1727612865143</v>
      </c>
      <c r="K16" s="17">
        <f>IF($A16=0,"",PRICE_TOMATO-$J16)</f>
        <v>-590.17276128651429</v>
      </c>
      <c r="L16" s="17">
        <f>$H16-$E16-$G16-FIXED_COST</f>
        <v>5585.9950421110552</v>
      </c>
      <c r="N16">
        <v>11</v>
      </c>
      <c r="O16" s="13">
        <f>$N16*HRS_PER_BED_TOMATO*WEEKS*(1+DIM_PCT_TOMATO)^$N16</f>
        <v>2824.5855390489023</v>
      </c>
      <c r="P16" s="13">
        <f>Labor!$H$8+Labor!$H$9</f>
        <v>2942.4546322382166</v>
      </c>
      <c r="Q16" s="13">
        <f t="shared" si="2"/>
        <v>5767.0401712871189</v>
      </c>
      <c r="R16" s="13">
        <f>MAX(0,$Q16-FARMER_HOURS)</f>
        <v>5047.0401712871189</v>
      </c>
      <c r="S16" s="17">
        <f>MIN($Q16,FARMER_HOURS)*FARMER_WAGE+IF(LABOR_MODE=1,$R16,ROUNDUP($R16/TEMP_HOURS_PER_WORKER,0)*TEMP_HOURS_PER_WORKER)*TEMP_WAGE</f>
        <v>112615.01737354438</v>
      </c>
      <c r="T16" s="17">
        <f t="shared" si="3"/>
        <v>8510.1727612865216</v>
      </c>
      <c r="U16" s="17">
        <f>IF($N16=0,"",$T16+FERT_TOMATO)</f>
        <v>9390.1727612865216</v>
      </c>
      <c r="V16" s="17">
        <f>IF($N16=0,"",PRICE_TOMATO-$U16)</f>
        <v>-590.17276128652156</v>
      </c>
    </row>
    <row r="17" spans="1:22" x14ac:dyDescent="0.2">
      <c r="A17">
        <v>12</v>
      </c>
      <c r="B17" s="13" cm="1">
        <f t="array" ref="B17">INDEX(Labor!$B$5:$B$36,$A17+1)</f>
        <v>3389.502646858683</v>
      </c>
      <c r="C17" s="13">
        <f>MIN($B17,FARMER_HOURS)</f>
        <v>720</v>
      </c>
      <c r="D17" s="13">
        <f>MAX(0,$B17-FARMER_HOURS)</f>
        <v>2669.502646858683</v>
      </c>
      <c r="E17" s="17">
        <f>$C17*FARMER_WAGE+IF(LABOR_MODE=1,$D17,ROUNDUP($D17/TEMP_HOURS_PER_WORKER,0)*TEMP_HOURS_PER_WORKER)*TEMP_WAGE</f>
        <v>71340.965949466728</v>
      </c>
      <c r="F17" s="18">
        <f t="shared" si="0"/>
        <v>21.047620663634525</v>
      </c>
      <c r="G17" s="17">
        <f>$A17*FERT_TOMATO</f>
        <v>10560</v>
      </c>
      <c r="H17" s="17">
        <f>$A17*PRICE_TOMATO</f>
        <v>105600</v>
      </c>
      <c r="I17" s="17">
        <f t="shared" si="1"/>
        <v>9806.9609915777837</v>
      </c>
      <c r="J17" s="17">
        <f>IF($A17=0,"",$I17+FERT_TOMATO)</f>
        <v>10686.960991577784</v>
      </c>
      <c r="K17" s="17">
        <f>IF($A17=0,"",PRICE_TOMATO-$J17)</f>
        <v>-1886.9609915777837</v>
      </c>
      <c r="L17" s="17">
        <f>$H17-$E17-$G17-FIXED_COST</f>
        <v>3699.0340505332715</v>
      </c>
      <c r="N17">
        <v>12</v>
      </c>
      <c r="O17" s="13">
        <f>$N17*HRS_PER_BED_TOMATO*WEEKS*(1+DIM_PCT_TOMATO)^$N17</f>
        <v>3389.502646858683</v>
      </c>
      <c r="P17" s="13">
        <f>Labor!$H$8+Labor!$H$9</f>
        <v>2942.4546322382166</v>
      </c>
      <c r="Q17" s="13">
        <f t="shared" si="2"/>
        <v>6331.9572790968996</v>
      </c>
      <c r="R17" s="13">
        <f>MAX(0,$Q17-FARMER_HOURS)</f>
        <v>5611.9572790968996</v>
      </c>
      <c r="S17" s="17">
        <f>MIN($Q17,FARMER_HOURS)*FARMER_WAGE+IF(LABOR_MODE=1,$R17,ROUNDUP($R17/TEMP_HOURS_PER_WORKER,0)*TEMP_HOURS_PER_WORKER)*TEMP_WAGE</f>
        <v>122421.97836512217</v>
      </c>
      <c r="T17" s="17">
        <f t="shared" si="3"/>
        <v>9806.9609915777837</v>
      </c>
      <c r="U17" s="17">
        <f>IF($N17=0,"",$T17+FERT_TOMATO)</f>
        <v>10686.960991577784</v>
      </c>
      <c r="V17" s="17">
        <f>IF($N17=0,"",PRICE_TOMATO-$U17)</f>
        <v>-1886.9609915777837</v>
      </c>
    </row>
    <row r="18" spans="1:22" x14ac:dyDescent="0.2">
      <c r="A18">
        <v>13</v>
      </c>
      <c r="B18" s="13" cm="1">
        <f t="array" ref="B18">INDEX(Labor!$B$5:$B$36,$A18+1)</f>
        <v>4039.1573208399304</v>
      </c>
      <c r="C18" s="13">
        <f>MIN($B18,FARMER_HOURS)</f>
        <v>720</v>
      </c>
      <c r="D18" s="13">
        <f>MAX(0,$B18-FARMER_HOURS)</f>
        <v>3319.1573208399304</v>
      </c>
      <c r="E18" s="17">
        <f>$C18*FARMER_WAGE+IF(LABOR_MODE=1,$D18,ROUNDUP($D18/TEMP_HOURS_PER_WORKER,0)*TEMP_HOURS_PER_WORKER)*TEMP_WAGE</f>
        <v>82618.971089781189</v>
      </c>
      <c r="F18" s="18">
        <f t="shared" si="0"/>
        <v>20.454506850602399</v>
      </c>
      <c r="G18" s="17">
        <f>$A18*FERT_TOMATO</f>
        <v>11440</v>
      </c>
      <c r="H18" s="17">
        <f>$A18*PRICE_TOMATO</f>
        <v>114400</v>
      </c>
      <c r="I18" s="17">
        <f t="shared" si="1"/>
        <v>11278.005140314461</v>
      </c>
      <c r="J18" s="17">
        <f>IF($A18=0,"",$I18+FERT_TOMATO)</f>
        <v>12158.005140314461</v>
      </c>
      <c r="K18" s="17">
        <f>IF($A18=0,"",PRICE_TOMATO-$J18)</f>
        <v>-3358.0051403144607</v>
      </c>
      <c r="L18" s="17">
        <f>$H18-$E18-$G18-FIXED_COST</f>
        <v>341.02891021881078</v>
      </c>
      <c r="N18">
        <v>13</v>
      </c>
      <c r="O18" s="13">
        <f>$N18*HRS_PER_BED_TOMATO*WEEKS*(1+DIM_PCT_TOMATO)^$N18</f>
        <v>4039.1573208399304</v>
      </c>
      <c r="P18" s="13">
        <f>Labor!$H$8+Labor!$H$9</f>
        <v>2942.4546322382166</v>
      </c>
      <c r="Q18" s="13">
        <f t="shared" si="2"/>
        <v>6981.6119530781471</v>
      </c>
      <c r="R18" s="13">
        <f>MAX(0,$Q18-FARMER_HOURS)</f>
        <v>6261.6119530781471</v>
      </c>
      <c r="S18" s="17">
        <f>MIN($Q18,FARMER_HOURS)*FARMER_WAGE+IF(LABOR_MODE=1,$R18,ROUNDUP($R18/TEMP_HOURS_PER_WORKER,0)*TEMP_HOURS_PER_WORKER)*TEMP_WAGE</f>
        <v>133699.98350543663</v>
      </c>
      <c r="T18" s="17">
        <f t="shared" si="3"/>
        <v>11278.005140314461</v>
      </c>
      <c r="U18" s="17">
        <f>IF($N18=0,"",$T18+FERT_TOMATO)</f>
        <v>12158.005140314461</v>
      </c>
      <c r="V18" s="17">
        <f>IF($N18=0,"",PRICE_TOMATO-$U18)</f>
        <v>-3358.0051403144607</v>
      </c>
    </row>
    <row r="19" spans="1:22" x14ac:dyDescent="0.2">
      <c r="A19">
        <v>14</v>
      </c>
      <c r="B19" s="13" cm="1">
        <f t="array" ref="B19">INDEX(Labor!$B$5:$B$36,$A19+1)</f>
        <v>4784.8479031488414</v>
      </c>
      <c r="C19" s="13">
        <f>MIN($B19,FARMER_HOURS)</f>
        <v>720</v>
      </c>
      <c r="D19" s="13">
        <f>MAX(0,$B19-FARMER_HOURS)</f>
        <v>4064.8479031488414</v>
      </c>
      <c r="E19" s="17">
        <f>$C19*FARMER_WAGE+IF(LABOR_MODE=1,$D19,ROUNDUP($D19/TEMP_HOURS_PER_WORKER,0)*TEMP_HOURS_PER_WORKER)*TEMP_WAGE</f>
        <v>95564.159598663871</v>
      </c>
      <c r="F19" s="18">
        <f t="shared" si="0"/>
        <v>19.972246042716307</v>
      </c>
      <c r="G19" s="17">
        <f>$A19*FERT_TOMATO</f>
        <v>12320</v>
      </c>
      <c r="H19" s="17">
        <f>$A19*PRICE_TOMATO</f>
        <v>123200</v>
      </c>
      <c r="I19" s="17">
        <f t="shared" si="1"/>
        <v>12945.188508882682</v>
      </c>
      <c r="J19" s="17">
        <f>IF($A19=0,"",$I19+FERT_TOMATO)</f>
        <v>13825.188508882682</v>
      </c>
      <c r="K19" s="17">
        <f>IF($A19=0,"",PRICE_TOMATO-$J19)</f>
        <v>-5025.1885088826821</v>
      </c>
      <c r="L19" s="17">
        <f>$H19-$E19-$G19-FIXED_COST</f>
        <v>-4684.1595986638713</v>
      </c>
      <c r="N19">
        <v>14</v>
      </c>
      <c r="O19" s="13">
        <f>$N19*HRS_PER_BED_TOMATO*WEEKS*(1+DIM_PCT_TOMATO)^$N19</f>
        <v>4784.8479031488414</v>
      </c>
      <c r="P19" s="13">
        <f>Labor!$H$8+Labor!$H$9</f>
        <v>2942.4546322382166</v>
      </c>
      <c r="Q19" s="13">
        <f t="shared" si="2"/>
        <v>7727.302535387058</v>
      </c>
      <c r="R19" s="13">
        <f>MAX(0,$Q19-FARMER_HOURS)</f>
        <v>7007.302535387058</v>
      </c>
      <c r="S19" s="17">
        <f>MIN($Q19,FARMER_HOURS)*FARMER_WAGE+IF(LABOR_MODE=1,$R19,ROUNDUP($R19/TEMP_HOURS_PER_WORKER,0)*TEMP_HOURS_PER_WORKER)*TEMP_WAGE</f>
        <v>146645.17201431934</v>
      </c>
      <c r="T19" s="17">
        <f t="shared" si="3"/>
        <v>12945.188508882711</v>
      </c>
      <c r="U19" s="17">
        <f>IF($N19=0,"",$T19+FERT_TOMATO)</f>
        <v>13825.188508882711</v>
      </c>
      <c r="V19" s="17">
        <f>IF($N19=0,"",PRICE_TOMATO-$U19)</f>
        <v>-5025.1885088827112</v>
      </c>
    </row>
    <row r="20" spans="1:22" x14ac:dyDescent="0.2">
      <c r="A20">
        <v>15</v>
      </c>
      <c r="B20" s="13" cm="1">
        <f t="array" ref="B20">INDEX(Labor!$B$5:$B$36,$A20+1)</f>
        <v>5639.2850287111351</v>
      </c>
      <c r="C20" s="13">
        <f>MIN($B20,FARMER_HOURS)</f>
        <v>720</v>
      </c>
      <c r="D20" s="13">
        <f>MAX(0,$B20-FARMER_HOURS)</f>
        <v>4919.2850287111351</v>
      </c>
      <c r="E20" s="17">
        <f>$C20*FARMER_WAGE+IF(LABOR_MODE=1,$D20,ROUNDUP($D20/TEMP_HOURS_PER_WORKER,0)*TEMP_HOURS_PER_WORKER)*TEMP_WAGE</f>
        <v>110397.18809842529</v>
      </c>
      <c r="F20" s="18">
        <f t="shared" si="0"/>
        <v>19.576451187759293</v>
      </c>
      <c r="G20" s="17">
        <f>$A20*FERT_TOMATO</f>
        <v>13200</v>
      </c>
      <c r="H20" s="17">
        <f>$A20*PRICE_TOMATO</f>
        <v>132000</v>
      </c>
      <c r="I20" s="17">
        <f t="shared" si="1"/>
        <v>14833.028499761422</v>
      </c>
      <c r="J20" s="17">
        <f>IF($A20=0,"",$I20+FERT_TOMATO)</f>
        <v>15713.028499761422</v>
      </c>
      <c r="K20" s="17">
        <f>IF($A20=0,"",PRICE_TOMATO-$J20)</f>
        <v>-6913.0284997614217</v>
      </c>
      <c r="L20" s="17">
        <f>$H20-$E20-$G20-FIXED_COST</f>
        <v>-11597.188098425293</v>
      </c>
      <c r="N20">
        <v>15</v>
      </c>
      <c r="O20" s="13">
        <f>$N20*HRS_PER_BED_TOMATO*WEEKS*(1+DIM_PCT_TOMATO)^$N20</f>
        <v>5639.2850287111351</v>
      </c>
      <c r="P20" s="13">
        <f>Labor!$H$8+Labor!$H$9</f>
        <v>2942.4546322382166</v>
      </c>
      <c r="Q20" s="13">
        <f t="shared" si="2"/>
        <v>8581.7396609493517</v>
      </c>
      <c r="R20" s="13">
        <f>MAX(0,$Q20-FARMER_HOURS)</f>
        <v>7861.7396609493517</v>
      </c>
      <c r="S20" s="17">
        <f>MIN($Q20,FARMER_HOURS)*FARMER_WAGE+IF(LABOR_MODE=1,$R20,ROUNDUP($R20/TEMP_HOURS_PER_WORKER,0)*TEMP_HOURS_PER_WORKER)*TEMP_WAGE</f>
        <v>161478.20051408073</v>
      </c>
      <c r="T20" s="17">
        <f t="shared" si="3"/>
        <v>14833.028499761393</v>
      </c>
      <c r="U20" s="17">
        <f>IF($N20=0,"",$T20+FERT_TOMATO)</f>
        <v>15713.028499761393</v>
      </c>
      <c r="V20" s="17">
        <f>IF($N20=0,"",PRICE_TOMATO-$U20)</f>
        <v>-6913.0284997613926</v>
      </c>
    </row>
    <row r="21" spans="1:22" x14ac:dyDescent="0.2">
      <c r="A21">
        <v>16</v>
      </c>
      <c r="B21" s="13" cm="1">
        <f t="array" ref="B21">INDEX(Labor!$B$5:$B$36,$A21+1)</f>
        <v>6616.761100354398</v>
      </c>
      <c r="C21" s="13">
        <f>MIN($B21,FARMER_HOURS)</f>
        <v>720</v>
      </c>
      <c r="D21" s="13">
        <f>MAX(0,$B21-FARMER_HOURS)</f>
        <v>5896.761100354398</v>
      </c>
      <c r="E21" s="17">
        <f>$C21*FARMER_WAGE+IF(LABOR_MODE=1,$D21,ROUNDUP($D21/TEMP_HOURS_PER_WORKER,0)*TEMP_HOURS_PER_WORKER)*TEMP_WAGE</f>
        <v>127366.17270215234</v>
      </c>
      <c r="F21" s="18">
        <f t="shared" si="0"/>
        <v>19.24902089865849</v>
      </c>
      <c r="G21" s="17">
        <f>$A21*FERT_TOMATO</f>
        <v>14080</v>
      </c>
      <c r="H21" s="17">
        <f>$A21*PRICE_TOMATO</f>
        <v>140800</v>
      </c>
      <c r="I21" s="17">
        <f t="shared" si="1"/>
        <v>16968.984603727047</v>
      </c>
      <c r="J21" s="17">
        <f>IF($A21=0,"",$I21+FERT_TOMATO)</f>
        <v>17848.984603727047</v>
      </c>
      <c r="K21" s="17">
        <f>IF($A21=0,"",PRICE_TOMATO-$J21)</f>
        <v>-9048.9846037270472</v>
      </c>
      <c r="L21" s="17">
        <f>$H21-$E21-$G21-FIXED_COST</f>
        <v>-20646.17270215234</v>
      </c>
      <c r="N21">
        <v>16</v>
      </c>
      <c r="O21" s="13">
        <f>$N21*HRS_PER_BED_TOMATO*WEEKS*(1+DIM_PCT_TOMATO)^$N21</f>
        <v>6616.761100354398</v>
      </c>
      <c r="P21" s="13">
        <f>Labor!$H$8+Labor!$H$9</f>
        <v>2942.4546322382166</v>
      </c>
      <c r="Q21" s="13">
        <f t="shared" si="2"/>
        <v>9559.2157325926146</v>
      </c>
      <c r="R21" s="13">
        <f>MAX(0,$Q21-FARMER_HOURS)</f>
        <v>8839.2157325926146</v>
      </c>
      <c r="S21" s="17">
        <f>MIN($Q21,FARMER_HOURS)*FARMER_WAGE+IF(LABOR_MODE=1,$R21,ROUNDUP($R21/TEMP_HOURS_PER_WORKER,0)*TEMP_HOURS_PER_WORKER)*TEMP_WAGE</f>
        <v>178447.18511780779</v>
      </c>
      <c r="T21" s="17">
        <f t="shared" si="3"/>
        <v>16968.984603727062</v>
      </c>
      <c r="U21" s="17">
        <f>IF($N21=0,"",$T21+FERT_TOMATO)</f>
        <v>17848.984603727062</v>
      </c>
      <c r="V21" s="17">
        <f>IF($N21=0,"",PRICE_TOMATO-$U21)</f>
        <v>-9048.9846037270618</v>
      </c>
    </row>
    <row r="22" spans="1:22" x14ac:dyDescent="0.2">
      <c r="A22">
        <v>17</v>
      </c>
      <c r="B22" s="13" cm="1">
        <f t="array" ref="B22">INDEX(Labor!$B$5:$B$36,$A22+1)</f>
        <v>7733.3395360392033</v>
      </c>
      <c r="C22" s="13">
        <f>MIN($B22,FARMER_HOURS)</f>
        <v>720</v>
      </c>
      <c r="D22" s="13">
        <f>MAX(0,$B22-FARMER_HOURS)</f>
        <v>7013.3395360392033</v>
      </c>
      <c r="E22" s="17">
        <f>$C22*FARMER_WAGE+IF(LABOR_MODE=1,$D22,ROUNDUP($D22/TEMP_HOURS_PER_WORKER,0)*TEMP_HOURS_PER_WORKER)*TEMP_WAGE</f>
        <v>146749.97434564057</v>
      </c>
      <c r="F22" s="18">
        <f t="shared" si="0"/>
        <v>18.976274565697103</v>
      </c>
      <c r="G22" s="17">
        <f>$A22*FERT_TOMATO</f>
        <v>14960</v>
      </c>
      <c r="H22" s="17">
        <f>$A22*PRICE_TOMATO</f>
        <v>149600</v>
      </c>
      <c r="I22" s="17">
        <f t="shared" si="1"/>
        <v>19383.80164348823</v>
      </c>
      <c r="J22" s="17">
        <f>IF($A22=0,"",$I22+FERT_TOMATO)</f>
        <v>20263.80164348823</v>
      </c>
      <c r="K22" s="17">
        <f>IF($A22=0,"",PRICE_TOMATO-$J22)</f>
        <v>-11463.80164348823</v>
      </c>
      <c r="L22" s="17">
        <f>$H22-$E22-$G22-FIXED_COST</f>
        <v>-32109.97434564057</v>
      </c>
      <c r="N22">
        <v>17</v>
      </c>
      <c r="O22" s="13">
        <f>$N22*HRS_PER_BED_TOMATO*WEEKS*(1+DIM_PCT_TOMATO)^$N22</f>
        <v>7733.3395360392033</v>
      </c>
      <c r="P22" s="13">
        <f>Labor!$H$8+Labor!$H$9</f>
        <v>2942.4546322382166</v>
      </c>
      <c r="Q22" s="13">
        <f t="shared" si="2"/>
        <v>10675.79416827742</v>
      </c>
      <c r="R22" s="13">
        <f>MAX(0,$Q22-FARMER_HOURS)</f>
        <v>9955.7941682774199</v>
      </c>
      <c r="S22" s="17">
        <f>MIN($Q22,FARMER_HOURS)*FARMER_WAGE+IF(LABOR_MODE=1,$R22,ROUNDUP($R22/TEMP_HOURS_PER_WORKER,0)*TEMP_HOURS_PER_WORKER)*TEMP_WAGE</f>
        <v>197830.98676129599</v>
      </c>
      <c r="T22" s="17">
        <f t="shared" si="3"/>
        <v>19383.801643488201</v>
      </c>
      <c r="U22" s="17">
        <f>IF($N22=0,"",$T22+FERT_TOMATO)</f>
        <v>20263.801643488201</v>
      </c>
      <c r="V22" s="17">
        <f>IF($N22=0,"",PRICE_TOMATO-$U22)</f>
        <v>-11463.801643488201</v>
      </c>
    </row>
    <row r="23" spans="1:22" x14ac:dyDescent="0.2">
      <c r="A23">
        <v>18</v>
      </c>
      <c r="B23" s="13" cm="1">
        <f t="array" ref="B23">INDEX(Labor!$B$5:$B$36,$A23+1)</f>
        <v>9007.0660478574246</v>
      </c>
      <c r="C23" s="13">
        <f>MIN($B23,FARMER_HOURS)</f>
        <v>720</v>
      </c>
      <c r="D23" s="13">
        <f>MAX(0,$B23-FARMER_HOURS)</f>
        <v>8287.0660478574246</v>
      </c>
      <c r="E23" s="17">
        <f>$C23*FARMER_WAGE+IF(LABOR_MODE=1,$D23,ROUNDUP($D23/TEMP_HOURS_PER_WORKER,0)*TEMP_HOURS_PER_WORKER)*TEMP_WAGE</f>
        <v>168861.86659080489</v>
      </c>
      <c r="F23" s="18">
        <f t="shared" si="0"/>
        <v>18.747710485699532</v>
      </c>
      <c r="G23" s="17">
        <f>$A23*FERT_TOMATO</f>
        <v>15840</v>
      </c>
      <c r="H23" s="17">
        <f>$A23*PRICE_TOMATO</f>
        <v>158400</v>
      </c>
      <c r="I23" s="17">
        <f t="shared" si="1"/>
        <v>22111.892245164316</v>
      </c>
      <c r="J23" s="17">
        <f>IF($A23=0,"",$I23+FERT_TOMATO)</f>
        <v>22991.892245164316</v>
      </c>
      <c r="K23" s="17">
        <f>IF($A23=0,"",PRICE_TOMATO-$J23)</f>
        <v>-14191.892245164316</v>
      </c>
      <c r="L23" s="17">
        <f>$H23-$E23-$G23-FIXED_COST</f>
        <v>-46301.866590804886</v>
      </c>
      <c r="N23">
        <v>18</v>
      </c>
      <c r="O23" s="13">
        <f>$N23*HRS_PER_BED_TOMATO*WEEKS*(1+DIM_PCT_TOMATO)^$N23</f>
        <v>9007.0660478574246</v>
      </c>
      <c r="P23" s="13">
        <f>Labor!$H$8+Labor!$H$9</f>
        <v>2942.4546322382166</v>
      </c>
      <c r="Q23" s="13">
        <f t="shared" si="2"/>
        <v>11949.52068009564</v>
      </c>
      <c r="R23" s="13">
        <f>MAX(0,$Q23-FARMER_HOURS)</f>
        <v>11229.52068009564</v>
      </c>
      <c r="S23" s="17">
        <f>MIN($Q23,FARMER_HOURS)*FARMER_WAGE+IF(LABOR_MODE=1,$R23,ROUNDUP($R23/TEMP_HOURS_PER_WORKER,0)*TEMP_HOURS_PER_WORKER)*TEMP_WAGE</f>
        <v>219942.87900646031</v>
      </c>
      <c r="T23" s="17">
        <f t="shared" si="3"/>
        <v>22111.892245164316</v>
      </c>
      <c r="U23" s="17">
        <f>IF($N23=0,"",$T23+FERT_TOMATO)</f>
        <v>22991.892245164316</v>
      </c>
      <c r="V23" s="17">
        <f>IF($N23=0,"",PRICE_TOMATO-$U23)</f>
        <v>-14191.892245164316</v>
      </c>
    </row>
    <row r="24" spans="1:22" x14ac:dyDescent="0.2">
      <c r="A24">
        <v>19</v>
      </c>
      <c r="B24" s="13" cm="1">
        <f t="array" ref="B24">INDEX(Labor!$B$5:$B$36,$A24+1)</f>
        <v>10458.204466678902</v>
      </c>
      <c r="C24" s="13">
        <f>MIN($B24,FARMER_HOURS)</f>
        <v>720</v>
      </c>
      <c r="D24" s="13">
        <f>MAX(0,$B24-FARMER_HOURS)</f>
        <v>9738.2044666789025</v>
      </c>
      <c r="E24" s="17">
        <f>$C24*FARMER_WAGE+IF(LABOR_MODE=1,$D24,ROUNDUP($D24/TEMP_HOURS_PER_WORKER,0)*TEMP_HOURS_PER_WORKER)*TEMP_WAGE</f>
        <v>194053.62954154573</v>
      </c>
      <c r="F24" s="18">
        <f t="shared" si="0"/>
        <v>18.555157356104857</v>
      </c>
      <c r="G24" s="17">
        <f>$A24*FERT_TOMATO</f>
        <v>16720</v>
      </c>
      <c r="H24" s="17">
        <f>$A24*PRICE_TOMATO</f>
        <v>167200</v>
      </c>
      <c r="I24" s="17">
        <f t="shared" si="1"/>
        <v>25191.762950740842</v>
      </c>
      <c r="J24" s="17">
        <f>IF($A24=0,"",$I24+FERT_TOMATO)</f>
        <v>26071.762950740842</v>
      </c>
      <c r="K24" s="17">
        <f>IF($A24=0,"",PRICE_TOMATO-$J24)</f>
        <v>-17271.762950740842</v>
      </c>
      <c r="L24" s="17">
        <f>$H24-$E24-$G24-FIXED_COST</f>
        <v>-63573.629541545728</v>
      </c>
      <c r="N24">
        <v>19</v>
      </c>
      <c r="O24" s="13">
        <f>$N24*HRS_PER_BED_TOMATO*WEEKS*(1+DIM_PCT_TOMATO)^$N24</f>
        <v>10458.204466678902</v>
      </c>
      <c r="P24" s="13">
        <f>Labor!$H$8+Labor!$H$9</f>
        <v>2942.4546322382166</v>
      </c>
      <c r="Q24" s="13">
        <f t="shared" si="2"/>
        <v>13400.65909891712</v>
      </c>
      <c r="R24" s="13">
        <f>MAX(0,$Q24-FARMER_HOURS)</f>
        <v>12680.65909891712</v>
      </c>
      <c r="S24" s="17">
        <f>MIN($Q24,FARMER_HOURS)*FARMER_WAGE+IF(LABOR_MODE=1,$R24,ROUNDUP($R24/TEMP_HOURS_PER_WORKER,0)*TEMP_HOURS_PER_WORKER)*TEMP_WAGE</f>
        <v>245134.64195720118</v>
      </c>
      <c r="T24" s="17">
        <f t="shared" si="3"/>
        <v>25191.762950740871</v>
      </c>
      <c r="U24" s="17">
        <f>IF($N24=0,"",$T24+FERT_TOMATO)</f>
        <v>26071.762950740871</v>
      </c>
      <c r="V24" s="17">
        <f>IF($N24=0,"",PRICE_TOMATO-$U24)</f>
        <v>-17271.762950740871</v>
      </c>
    </row>
    <row r="25" spans="1:22" x14ac:dyDescent="0.2">
      <c r="A25">
        <v>20</v>
      </c>
      <c r="B25" s="13" cm="1">
        <f t="array" ref="B25">INDEX(Labor!$B$5:$B$36,$A25+1)</f>
        <v>12109.499908786096</v>
      </c>
      <c r="C25" s="13">
        <f>MIN($B25,FARMER_HOURS)</f>
        <v>720</v>
      </c>
      <c r="D25" s="13">
        <f>MAX(0,$B25-FARMER_HOURS)</f>
        <v>11389.499908786096</v>
      </c>
      <c r="E25" s="17">
        <f>$C25*FARMER_WAGE+IF(LABOR_MODE=1,$D25,ROUNDUP($D25/TEMP_HOURS_PER_WORKER,0)*TEMP_HOURS_PER_WORKER)*TEMP_WAGE</f>
        <v>222720.11841652662</v>
      </c>
      <c r="F25" s="18">
        <f t="shared" si="0"/>
        <v>18.39218135299965</v>
      </c>
      <c r="G25" s="17">
        <f>$A25*FERT_TOMATO</f>
        <v>17600</v>
      </c>
      <c r="H25" s="17">
        <f>$A25*PRICE_TOMATO</f>
        <v>176000</v>
      </c>
      <c r="I25" s="17">
        <f t="shared" si="1"/>
        <v>28666.488874980889</v>
      </c>
      <c r="J25" s="17">
        <f>IF($A25=0,"",$I25+FERT_TOMATO)</f>
        <v>29546.488874980889</v>
      </c>
      <c r="K25" s="17">
        <f>IF($A25=0,"",PRICE_TOMATO-$J25)</f>
        <v>-20746.488874980889</v>
      </c>
      <c r="L25" s="17">
        <f>$H25-$E25-$G25-FIXED_COST</f>
        <v>-84320.118416526617</v>
      </c>
      <c r="N25">
        <v>20</v>
      </c>
      <c r="O25" s="13">
        <f>$N25*HRS_PER_BED_TOMATO*WEEKS*(1+DIM_PCT_TOMATO)^$N25</f>
        <v>12109.499908786096</v>
      </c>
      <c r="P25" s="13">
        <f>Labor!$H$8+Labor!$H$9</f>
        <v>2942.4546322382166</v>
      </c>
      <c r="Q25" s="13">
        <f t="shared" si="2"/>
        <v>15051.954541024312</v>
      </c>
      <c r="R25" s="13">
        <f>MAX(0,$Q25-FARMER_HOURS)</f>
        <v>14331.954541024312</v>
      </c>
      <c r="S25" s="17">
        <f>MIN($Q25,FARMER_HOURS)*FARMER_WAGE+IF(LABOR_MODE=1,$R25,ROUNDUP($R25/TEMP_HOURS_PER_WORKER,0)*TEMP_HOURS_PER_WORKER)*TEMP_WAGE</f>
        <v>273801.13083218207</v>
      </c>
      <c r="T25" s="17">
        <f t="shared" si="3"/>
        <v>28666.488874980889</v>
      </c>
      <c r="U25" s="17">
        <f>IF($N25=0,"",$T25+FERT_TOMATO)</f>
        <v>29546.488874980889</v>
      </c>
      <c r="V25" s="17">
        <f>IF($N25=0,"",PRICE_TOMATO-$U25)</f>
        <v>-20746.488874980889</v>
      </c>
    </row>
    <row r="26" spans="1:22" x14ac:dyDescent="0.2">
      <c r="N26">
        <v>21</v>
      </c>
      <c r="O26" s="13">
        <f>$N26*HRS_PER_BED_TOMATO*WEEKS*(1+DIM_PCT_TOMATO)^$N26</f>
        <v>13986.472394647943</v>
      </c>
      <c r="P26" s="13">
        <f>Labor!$H$8+Labor!$H$9</f>
        <v>2942.4546322382166</v>
      </c>
      <c r="Q26" s="13">
        <f t="shared" si="2"/>
        <v>16928.927026886158</v>
      </c>
      <c r="R26" s="13">
        <f>MAX(0,$Q26-FARMER_HOURS)</f>
        <v>16208.927026886158</v>
      </c>
      <c r="S26" s="17">
        <f>MIN($Q26,FARMER_HOURS)*FARMER_WAGE+IF(LABOR_MODE=1,$R26,ROUNDUP($R26/TEMP_HOURS_PER_WORKER,0)*TEMP_HOURS_PER_WORKER)*TEMP_WAGE</f>
        <v>306385.3731867437</v>
      </c>
      <c r="T26" s="17">
        <f t="shared" si="3"/>
        <v>32584.242354561633</v>
      </c>
      <c r="U26" s="17">
        <f>IF($N26=0,"",$T26+FERT_TOMATO)</f>
        <v>33464.242354561633</v>
      </c>
      <c r="V26" s="17">
        <f>IF($N26=0,"",PRICE_TOMATO-$U26)</f>
        <v>-24664.242354561633</v>
      </c>
    </row>
    <row r="27" spans="1:22" x14ac:dyDescent="0.2">
      <c r="A27" s="14" t="s">
        <v>84</v>
      </c>
      <c r="N27" s="21" t="s">
        <v>93</v>
      </c>
    </row>
    <row r="28" spans="1:22" ht="34" x14ac:dyDescent="0.2">
      <c r="A28" s="20" t="s">
        <v>49</v>
      </c>
      <c r="B28" s="20" t="s">
        <v>73</v>
      </c>
      <c r="C28" s="20" t="s">
        <v>74</v>
      </c>
      <c r="D28" s="20" t="s">
        <v>75</v>
      </c>
      <c r="E28" s="20" t="s">
        <v>76</v>
      </c>
      <c r="F28" s="20" t="s">
        <v>77</v>
      </c>
      <c r="G28" s="20" t="s">
        <v>78</v>
      </c>
      <c r="H28" s="20" t="s">
        <v>79</v>
      </c>
      <c r="I28" s="20" t="s">
        <v>80</v>
      </c>
      <c r="J28" s="20" t="s">
        <v>81</v>
      </c>
      <c r="K28" s="20" t="s">
        <v>82</v>
      </c>
      <c r="L28" s="20" t="s">
        <v>83</v>
      </c>
      <c r="N28" s="22" t="s">
        <v>49</v>
      </c>
      <c r="O28" s="22" t="s">
        <v>89</v>
      </c>
      <c r="P28" s="22" t="s">
        <v>90</v>
      </c>
      <c r="Q28" s="22" t="s">
        <v>91</v>
      </c>
      <c r="R28" s="22" t="s">
        <v>75</v>
      </c>
      <c r="S28" s="22" t="s">
        <v>92</v>
      </c>
      <c r="T28" s="22" t="s">
        <v>80</v>
      </c>
      <c r="U28" s="22" t="s">
        <v>81</v>
      </c>
      <c r="V28" s="22" t="s">
        <v>82</v>
      </c>
    </row>
    <row r="29" spans="1:22" x14ac:dyDescent="0.2">
      <c r="A29">
        <v>0</v>
      </c>
      <c r="B29" s="13" cm="1">
        <f t="array" ref="B29">INDEX(Labor!$C$5:$C$36,$A29+1)</f>
        <v>0</v>
      </c>
      <c r="C29" s="13">
        <f>MIN($B29,FARMER_HOURS)</f>
        <v>0</v>
      </c>
      <c r="D29" s="13">
        <f>MAX(0,$B29-FARMER_HOURS)</f>
        <v>0</v>
      </c>
      <c r="E29" s="17">
        <f>$C29*FARMER_WAGE+IF(LABOR_MODE=1,$D29,ROUNDUP($D29/TEMP_HOURS_PER_WORKER,0)*TEMP_HOURS_PER_WORKER)*TEMP_WAGE</f>
        <v>0</v>
      </c>
      <c r="F29" s="18">
        <f>IF($B29=0,0,$E29/$B29)</f>
        <v>0</v>
      </c>
      <c r="G29" s="17">
        <f>$A29*FERT_CARROT</f>
        <v>0</v>
      </c>
      <c r="H29" s="17">
        <f>$A29*PRICE_CARROT</f>
        <v>0</v>
      </c>
      <c r="I29" s="17" t="str">
        <f>IF($A29=0,"",$E29-$E28)</f>
        <v/>
      </c>
      <c r="J29" s="17" t="str">
        <f>IF($A29=0,"",$I29+FERT_CARROT)</f>
        <v/>
      </c>
      <c r="K29" s="17" t="str">
        <f>IF($A29=0,"",PRICE_CARROT-$J29)</f>
        <v/>
      </c>
      <c r="L29" s="17">
        <f>$H29-$E29-$G29-FIXED_COST</f>
        <v>-20000</v>
      </c>
      <c r="N29">
        <v>0</v>
      </c>
      <c r="O29" s="13">
        <f>$N29*HRS_PER_BED_CARROT*WEEKS*(1+DIM_PCT_CARROT)^$N29</f>
        <v>0</v>
      </c>
      <c r="P29" s="13">
        <f>Labor!$H$7+Labor!$H$9</f>
        <v>4294.0462500996509</v>
      </c>
      <c r="Q29" s="13">
        <f>$O29+$P29</f>
        <v>4294.0462500996509</v>
      </c>
      <c r="R29" s="13">
        <f>MAX(0,$Q29-FARMER_HOURS)</f>
        <v>3574.0462500996509</v>
      </c>
      <c r="S29" s="17">
        <f>MIN($Q29,FARMER_HOURS)*FARMER_WAGE+IF(LABOR_MODE=1,$R29,ROUNDUP($R29/TEMP_HOURS_PER_WORKER,0)*TEMP_HOURS_PER_WORKER)*TEMP_WAGE</f>
        <v>87043.842901729935</v>
      </c>
      <c r="T29" s="17" t="str">
        <f>IF($N29=0,"",$S29-$S28)</f>
        <v/>
      </c>
      <c r="U29" s="17" t="str">
        <f>IF($N29=0,"",$T29+FERT_CARROT)</f>
        <v/>
      </c>
      <c r="V29" s="17" t="str">
        <f>IF($N29=0,"",PRICE_CARROT-$U29)</f>
        <v/>
      </c>
    </row>
    <row r="30" spans="1:22" x14ac:dyDescent="0.2">
      <c r="A30">
        <v>1</v>
      </c>
      <c r="B30" s="13" cm="1">
        <f t="array" ref="B30">INDEX(Labor!$C$5:$C$36,$A30+1)</f>
        <v>30.737699999999997</v>
      </c>
      <c r="C30" s="13">
        <f>MIN($B30,FARMER_HOURS)</f>
        <v>30.737699999999997</v>
      </c>
      <c r="D30" s="13">
        <f>MAX(0,$B30-FARMER_HOURS)</f>
        <v>0</v>
      </c>
      <c r="E30" s="17">
        <f>$C30*FARMER_WAGE+IF(LABOR_MODE=1,$D30,ROUNDUP($D30/TEMP_HOURS_PER_WORKER,0)*TEMP_HOURS_PER_WORKER)*TEMP_WAGE</f>
        <v>1067.2129439999999</v>
      </c>
      <c r="F30" s="18">
        <f t="shared" ref="F30:F49" si="4">IF($B30=0,0,$E30/$B30)</f>
        <v>34.72</v>
      </c>
      <c r="G30" s="17">
        <f>$A30*FERT_CARROT</f>
        <v>440</v>
      </c>
      <c r="H30" s="17">
        <f>$A30*PRICE_CARROT</f>
        <v>2094</v>
      </c>
      <c r="I30" s="17">
        <f t="shared" ref="I30:I49" si="5">IF($A30=0,"",$E30-$E29)</f>
        <v>1067.2129439999999</v>
      </c>
      <c r="J30" s="17">
        <f>IF($A30=0,"",$I30+FERT_CARROT)</f>
        <v>1507.2129439999999</v>
      </c>
      <c r="K30" s="17">
        <f>IF($A30=0,"",PRICE_CARROT-$J30)</f>
        <v>586.78705600000012</v>
      </c>
      <c r="L30" s="17">
        <f>$H30-$E30-$G30-FIXED_COST</f>
        <v>-19413.212943999999</v>
      </c>
      <c r="N30">
        <v>1</v>
      </c>
      <c r="O30" s="13">
        <f>$N30*HRS_PER_BED_CARROT*WEEKS*(1+DIM_PCT_CARROT)^$N30</f>
        <v>30.737699999999997</v>
      </c>
      <c r="P30" s="13">
        <f>Labor!$H$7+Labor!$H$9</f>
        <v>4294.0462500996509</v>
      </c>
      <c r="Q30" s="13">
        <f t="shared" ref="Q30:Q50" si="6">$O30+$P30</f>
        <v>4324.7839500996506</v>
      </c>
      <c r="R30" s="13">
        <f>MAX(0,$Q30-FARMER_HOURS)</f>
        <v>3604.7839500996506</v>
      </c>
      <c r="S30" s="17">
        <f>MIN($Q30,FARMER_HOURS)*FARMER_WAGE+IF(LABOR_MODE=1,$R30,ROUNDUP($R30/TEMP_HOURS_PER_WORKER,0)*TEMP_HOURS_PER_WORKER)*TEMP_WAGE</f>
        <v>87577.449373729934</v>
      </c>
      <c r="T30" s="17">
        <f t="shared" ref="T30:T50" si="7">IF($N30=0,"",$S30-$S29)</f>
        <v>533.60647199999948</v>
      </c>
      <c r="U30" s="17">
        <f>IF($N30=0,"",$T30+FERT_CARROT)</f>
        <v>973.60647199999948</v>
      </c>
      <c r="V30" s="17">
        <f>IF($N30=0,"",PRICE_CARROT-$U30)</f>
        <v>1120.3935280000005</v>
      </c>
    </row>
    <row r="31" spans="1:22" x14ac:dyDescent="0.2">
      <c r="A31">
        <v>2</v>
      </c>
      <c r="B31" s="13" cm="1">
        <f t="array" ref="B31">INDEX(Labor!$C$5:$C$36,$A31+1)</f>
        <v>63.012284999999991</v>
      </c>
      <c r="C31" s="13">
        <f>MIN($B31,FARMER_HOURS)</f>
        <v>63.012284999999991</v>
      </c>
      <c r="D31" s="13">
        <f>MAX(0,$B31-FARMER_HOURS)</f>
        <v>0</v>
      </c>
      <c r="E31" s="17">
        <f>$C31*FARMER_WAGE+IF(LABOR_MODE=1,$D31,ROUNDUP($D31/TEMP_HOURS_PER_WORKER,0)*TEMP_HOURS_PER_WORKER)*TEMP_WAGE</f>
        <v>2187.7865351999994</v>
      </c>
      <c r="F31" s="18">
        <f t="shared" si="4"/>
        <v>34.72</v>
      </c>
      <c r="G31" s="17">
        <f>$A31*FERT_CARROT</f>
        <v>880</v>
      </c>
      <c r="H31" s="17">
        <f>$A31*PRICE_CARROT</f>
        <v>4188</v>
      </c>
      <c r="I31" s="17">
        <f t="shared" si="5"/>
        <v>1120.5735911999996</v>
      </c>
      <c r="J31" s="17">
        <f>IF($A31=0,"",$I31+FERT_CARROT)</f>
        <v>1560.5735911999996</v>
      </c>
      <c r="K31" s="17">
        <f>IF($A31=0,"",PRICE_CARROT-$J31)</f>
        <v>533.42640880000044</v>
      </c>
      <c r="L31" s="17">
        <f>$H31-$E31-$G31-FIXED_COST</f>
        <v>-18879.786535200001</v>
      </c>
      <c r="N31">
        <v>2</v>
      </c>
      <c r="O31" s="13">
        <f>$N31*HRS_PER_BED_CARROT*WEEKS*(1+DIM_PCT_CARROT)^$N31</f>
        <v>63.012284999999991</v>
      </c>
      <c r="P31" s="13">
        <f>Labor!$H$7+Labor!$H$9</f>
        <v>4294.0462500996509</v>
      </c>
      <c r="Q31" s="13">
        <f t="shared" si="6"/>
        <v>4357.0585350996507</v>
      </c>
      <c r="R31" s="13">
        <f>MAX(0,$Q31-FARMER_HOURS)</f>
        <v>3637.0585350996507</v>
      </c>
      <c r="S31" s="17">
        <f>MIN($Q31,FARMER_HOURS)*FARMER_WAGE+IF(LABOR_MODE=1,$R31,ROUNDUP($R31/TEMP_HOURS_PER_WORKER,0)*TEMP_HOURS_PER_WORKER)*TEMP_WAGE</f>
        <v>88137.736169329932</v>
      </c>
      <c r="T31" s="17">
        <f t="shared" si="7"/>
        <v>560.28679559999728</v>
      </c>
      <c r="U31" s="17">
        <f>IF($N31=0,"",$T31+FERT_CARROT)</f>
        <v>1000.2867955999973</v>
      </c>
      <c r="V31" s="17">
        <f>IF($N31=0,"",PRICE_CARROT-$U31)</f>
        <v>1093.7132044000027</v>
      </c>
    </row>
    <row r="32" spans="1:22" x14ac:dyDescent="0.2">
      <c r="A32">
        <v>3</v>
      </c>
      <c r="B32" s="13" cm="1">
        <f t="array" ref="B32">INDEX(Labor!$C$5:$C$36,$A32+1)</f>
        <v>96.881388187499979</v>
      </c>
      <c r="C32" s="13">
        <f>MIN($B32,FARMER_HOURS)</f>
        <v>96.881388187499979</v>
      </c>
      <c r="D32" s="13">
        <f>MAX(0,$B32-FARMER_HOURS)</f>
        <v>0</v>
      </c>
      <c r="E32" s="17">
        <f>$C32*FARMER_WAGE+IF(LABOR_MODE=1,$D32,ROUNDUP($D32/TEMP_HOURS_PER_WORKER,0)*TEMP_HOURS_PER_WORKER)*TEMP_WAGE</f>
        <v>3363.7217978699991</v>
      </c>
      <c r="F32" s="18">
        <f t="shared" si="4"/>
        <v>34.72</v>
      </c>
      <c r="G32" s="17">
        <f>$A32*FERT_CARROT</f>
        <v>1320</v>
      </c>
      <c r="H32" s="17">
        <f>$A32*PRICE_CARROT</f>
        <v>6282</v>
      </c>
      <c r="I32" s="17">
        <f t="shared" si="5"/>
        <v>1175.9352626699997</v>
      </c>
      <c r="J32" s="17">
        <f>IF($A32=0,"",$I32+FERT_CARROT)</f>
        <v>1615.9352626699997</v>
      </c>
      <c r="K32" s="17">
        <f>IF($A32=0,"",PRICE_CARROT-$J32)</f>
        <v>478.0647373300003</v>
      </c>
      <c r="L32" s="17">
        <f>$H32-$E32-$G32-FIXED_COST</f>
        <v>-18401.721797869999</v>
      </c>
      <c r="N32">
        <v>3</v>
      </c>
      <c r="O32" s="13">
        <f>$N32*HRS_PER_BED_CARROT*WEEKS*(1+DIM_PCT_CARROT)^$N32</f>
        <v>96.881388187499979</v>
      </c>
      <c r="P32" s="13">
        <f>Labor!$H$7+Labor!$H$9</f>
        <v>4294.0462500996509</v>
      </c>
      <c r="Q32" s="13">
        <f t="shared" si="6"/>
        <v>4390.9276382871512</v>
      </c>
      <c r="R32" s="13">
        <f>MAX(0,$Q32-FARMER_HOURS)</f>
        <v>3670.9276382871512</v>
      </c>
      <c r="S32" s="17">
        <f>MIN($Q32,FARMER_HOURS)*FARMER_WAGE+IF(LABOR_MODE=1,$R32,ROUNDUP($R32/TEMP_HOURS_PER_WORKER,0)*TEMP_HOURS_PER_WORKER)*TEMP_WAGE</f>
        <v>88725.703800664938</v>
      </c>
      <c r="T32" s="17">
        <f t="shared" si="7"/>
        <v>587.96763133500644</v>
      </c>
      <c r="U32" s="17">
        <f>IF($N32=0,"",$T32+FERT_CARROT)</f>
        <v>1027.9676313350064</v>
      </c>
      <c r="V32" s="17">
        <f>IF($N32=0,"",PRICE_CARROT-$U32)</f>
        <v>1066.0323686649936</v>
      </c>
    </row>
    <row r="33" spans="1:22" x14ac:dyDescent="0.2">
      <c r="A33">
        <v>4</v>
      </c>
      <c r="B33" s="13" cm="1">
        <f t="array" ref="B33">INDEX(Labor!$C$5:$C$36,$A33+1)</f>
        <v>132.40456385624998</v>
      </c>
      <c r="C33" s="13">
        <f>MIN($B33,FARMER_HOURS)</f>
        <v>132.40456385624998</v>
      </c>
      <c r="D33" s="13">
        <f>MAX(0,$B33-FARMER_HOURS)</f>
        <v>0</v>
      </c>
      <c r="E33" s="17">
        <f>$C33*FARMER_WAGE+IF(LABOR_MODE=1,$D33,ROUNDUP($D33/TEMP_HOURS_PER_WORKER,0)*TEMP_HOURS_PER_WORKER)*TEMP_WAGE</f>
        <v>4597.0864570889989</v>
      </c>
      <c r="F33" s="18">
        <f t="shared" si="4"/>
        <v>34.72</v>
      </c>
      <c r="G33" s="17">
        <f>$A33*FERT_CARROT</f>
        <v>1760</v>
      </c>
      <c r="H33" s="17">
        <f>$A33*PRICE_CARROT</f>
        <v>8376</v>
      </c>
      <c r="I33" s="17">
        <f t="shared" si="5"/>
        <v>1233.3646592189998</v>
      </c>
      <c r="J33" s="17">
        <f>IF($A33=0,"",$I33+FERT_CARROT)</f>
        <v>1673.3646592189998</v>
      </c>
      <c r="K33" s="17">
        <f>IF($A33=0,"",PRICE_CARROT-$J33)</f>
        <v>420.6353407810002</v>
      </c>
      <c r="L33" s="17">
        <f>$H33-$E33-$G33-FIXED_COST</f>
        <v>-17981.086457088997</v>
      </c>
      <c r="N33">
        <v>4</v>
      </c>
      <c r="O33" s="13">
        <f>$N33*HRS_PER_BED_CARROT*WEEKS*(1+DIM_PCT_CARROT)^$N33</f>
        <v>132.40456385624998</v>
      </c>
      <c r="P33" s="13">
        <f>Labor!$H$7+Labor!$H$9</f>
        <v>4294.0462500996509</v>
      </c>
      <c r="Q33" s="13">
        <f t="shared" si="6"/>
        <v>4426.4508139559011</v>
      </c>
      <c r="R33" s="13">
        <f>MAX(0,$Q33-FARMER_HOURS)</f>
        <v>3706.4508139559011</v>
      </c>
      <c r="S33" s="17">
        <f>MIN($Q33,FARMER_HOURS)*FARMER_WAGE+IF(LABOR_MODE=1,$R33,ROUNDUP($R33/TEMP_HOURS_PER_WORKER,0)*TEMP_HOURS_PER_WORKER)*TEMP_WAGE</f>
        <v>89342.386130274434</v>
      </c>
      <c r="T33" s="17">
        <f t="shared" si="7"/>
        <v>616.68232960949535</v>
      </c>
      <c r="U33" s="17">
        <f>IF($N33=0,"",$T33+FERT_CARROT)</f>
        <v>1056.6823296094954</v>
      </c>
      <c r="V33" s="17">
        <f>IF($N33=0,"",PRICE_CARROT-$U33)</f>
        <v>1037.3176703905046</v>
      </c>
    </row>
    <row r="34" spans="1:22" x14ac:dyDescent="0.2">
      <c r="A34">
        <v>5</v>
      </c>
      <c r="B34" s="13" cm="1">
        <f t="array" ref="B34">INDEX(Labor!$C$5:$C$36,$A34+1)</f>
        <v>169.64334744082026</v>
      </c>
      <c r="C34" s="13">
        <f>MIN($B34,FARMER_HOURS)</f>
        <v>169.64334744082026</v>
      </c>
      <c r="D34" s="13">
        <f>MAX(0,$B34-FARMER_HOURS)</f>
        <v>0</v>
      </c>
      <c r="E34" s="17">
        <f>$C34*FARMER_WAGE+IF(LABOR_MODE=1,$D34,ROUNDUP($D34/TEMP_HOURS_PER_WORKER,0)*TEMP_HOURS_PER_WORKER)*TEMP_WAGE</f>
        <v>5890.0170231452794</v>
      </c>
      <c r="F34" s="18">
        <f t="shared" si="4"/>
        <v>34.72</v>
      </c>
      <c r="G34" s="17">
        <f>$A34*FERT_CARROT</f>
        <v>2200</v>
      </c>
      <c r="H34" s="17">
        <f>$A34*PRICE_CARROT</f>
        <v>10470</v>
      </c>
      <c r="I34" s="17">
        <f t="shared" si="5"/>
        <v>1292.9305660562804</v>
      </c>
      <c r="J34" s="17">
        <f>IF($A34=0,"",$I34+FERT_CARROT)</f>
        <v>1732.9305660562804</v>
      </c>
      <c r="K34" s="17">
        <f>IF($A34=0,"",PRICE_CARROT-$J34)</f>
        <v>361.06943394371956</v>
      </c>
      <c r="L34" s="17">
        <f>$H34-$E34-$G34-FIXED_COST</f>
        <v>-17620.017023145279</v>
      </c>
      <c r="N34">
        <v>5</v>
      </c>
      <c r="O34" s="13">
        <f>$N34*HRS_PER_BED_CARROT*WEEKS*(1+DIM_PCT_CARROT)^$N34</f>
        <v>169.64334744082026</v>
      </c>
      <c r="P34" s="13">
        <f>Labor!$H$7+Labor!$H$9</f>
        <v>4294.0462500996509</v>
      </c>
      <c r="Q34" s="13">
        <f t="shared" si="6"/>
        <v>4463.6895975404714</v>
      </c>
      <c r="R34" s="13">
        <f>MAX(0,$Q34-FARMER_HOURS)</f>
        <v>3743.6895975404714</v>
      </c>
      <c r="S34" s="17">
        <f>MIN($Q34,FARMER_HOURS)*FARMER_WAGE+IF(LABOR_MODE=1,$R34,ROUNDUP($R34/TEMP_HOURS_PER_WORKER,0)*TEMP_HOURS_PER_WORKER)*TEMP_WAGE</f>
        <v>89988.851413302575</v>
      </c>
      <c r="T34" s="17">
        <f t="shared" si="7"/>
        <v>646.46528302814113</v>
      </c>
      <c r="U34" s="17">
        <f>IF($N34=0,"",$T34+FERT_CARROT)</f>
        <v>1086.4652830281411</v>
      </c>
      <c r="V34" s="17">
        <f>IF($N34=0,"",PRICE_CARROT-$U34)</f>
        <v>1007.5347169718589</v>
      </c>
    </row>
    <row r="35" spans="1:22" x14ac:dyDescent="0.2">
      <c r="A35">
        <v>6</v>
      </c>
      <c r="B35" s="13" cm="1">
        <f t="array" ref="B35">INDEX(Labor!$C$5:$C$36,$A35+1)</f>
        <v>208.66131735220887</v>
      </c>
      <c r="C35" s="13">
        <f>MIN($B35,FARMER_HOURS)</f>
        <v>208.66131735220887</v>
      </c>
      <c r="D35" s="13">
        <f>MAX(0,$B35-FARMER_HOURS)</f>
        <v>0</v>
      </c>
      <c r="E35" s="17">
        <f>$C35*FARMER_WAGE+IF(LABOR_MODE=1,$D35,ROUNDUP($D35/TEMP_HOURS_PER_WORKER,0)*TEMP_HOURS_PER_WORKER)*TEMP_WAGE</f>
        <v>7244.7209384686921</v>
      </c>
      <c r="F35" s="18">
        <f t="shared" si="4"/>
        <v>34.72</v>
      </c>
      <c r="G35" s="17">
        <f>$A35*FERT_CARROT</f>
        <v>2640</v>
      </c>
      <c r="H35" s="17">
        <f>$A35*PRICE_CARROT</f>
        <v>12564</v>
      </c>
      <c r="I35" s="17">
        <f t="shared" si="5"/>
        <v>1354.7039153234127</v>
      </c>
      <c r="J35" s="17">
        <f>IF($A35=0,"",$I35+FERT_CARROT)</f>
        <v>1794.7039153234127</v>
      </c>
      <c r="K35" s="17">
        <f>IF($A35=0,"",PRICE_CARROT-$J35)</f>
        <v>299.29608467658727</v>
      </c>
      <c r="L35" s="17">
        <f>$H35-$E35-$G35-FIXED_COST</f>
        <v>-17320.720938468694</v>
      </c>
      <c r="N35">
        <v>6</v>
      </c>
      <c r="O35" s="13">
        <f>$N35*HRS_PER_BED_CARROT*WEEKS*(1+DIM_PCT_CARROT)^$N35</f>
        <v>208.66131735220887</v>
      </c>
      <c r="P35" s="13">
        <f>Labor!$H$7+Labor!$H$9</f>
        <v>4294.0462500996509</v>
      </c>
      <c r="Q35" s="13">
        <f t="shared" si="6"/>
        <v>4502.7075674518601</v>
      </c>
      <c r="R35" s="13">
        <f>MAX(0,$Q35-FARMER_HOURS)</f>
        <v>3782.7075674518601</v>
      </c>
      <c r="S35" s="17">
        <f>MIN($Q35,FARMER_HOURS)*FARMER_WAGE+IF(LABOR_MODE=1,$R35,ROUNDUP($R35/TEMP_HOURS_PER_WORKER,0)*TEMP_HOURS_PER_WORKER)*TEMP_WAGE</f>
        <v>90666.203370964286</v>
      </c>
      <c r="T35" s="17">
        <f t="shared" si="7"/>
        <v>677.35195766171091</v>
      </c>
      <c r="U35" s="17">
        <f>IF($N35=0,"",$T35+FERT_CARROT)</f>
        <v>1117.3519576617109</v>
      </c>
      <c r="V35" s="17">
        <f>IF($N35=0,"",PRICE_CARROT-$U35)</f>
        <v>976.64804233828909</v>
      </c>
    </row>
    <row r="36" spans="1:22" x14ac:dyDescent="0.2">
      <c r="A36">
        <v>7</v>
      </c>
      <c r="B36" s="13" cm="1">
        <f t="array" ref="B36">INDEX(Labor!$C$5:$C$36,$A36+1)</f>
        <v>249.52415866701648</v>
      </c>
      <c r="C36" s="13">
        <f>MIN($B36,FARMER_HOURS)</f>
        <v>249.52415866701648</v>
      </c>
      <c r="D36" s="13">
        <f>MAX(0,$B36-FARMER_HOURS)</f>
        <v>0</v>
      </c>
      <c r="E36" s="17">
        <f>$C36*FARMER_WAGE+IF(LABOR_MODE=1,$D36,ROUNDUP($D36/TEMP_HOURS_PER_WORKER,0)*TEMP_HOURS_PER_WORKER)*TEMP_WAGE</f>
        <v>8663.4787889188119</v>
      </c>
      <c r="F36" s="18">
        <f t="shared" si="4"/>
        <v>34.72</v>
      </c>
      <c r="G36" s="17">
        <f>$A36*FERT_CARROT</f>
        <v>3080</v>
      </c>
      <c r="H36" s="17">
        <f>$A36*PRICE_CARROT</f>
        <v>14658</v>
      </c>
      <c r="I36" s="17">
        <f t="shared" si="5"/>
        <v>1418.7578504501198</v>
      </c>
      <c r="J36" s="17">
        <f>IF($A36=0,"",$I36+FERT_CARROT)</f>
        <v>1858.7578504501198</v>
      </c>
      <c r="K36" s="17">
        <f>IF($A36=0,"",PRICE_CARROT-$J36)</f>
        <v>235.2421495498802</v>
      </c>
      <c r="L36" s="17">
        <f>$H36-$E36-$G36-FIXED_COST</f>
        <v>-17085.478788918812</v>
      </c>
      <c r="N36">
        <v>7</v>
      </c>
      <c r="O36" s="13">
        <f>$N36*HRS_PER_BED_CARROT*WEEKS*(1+DIM_PCT_CARROT)^$N36</f>
        <v>249.52415866701648</v>
      </c>
      <c r="P36" s="13">
        <f>Labor!$H$7+Labor!$H$9</f>
        <v>4294.0462500996509</v>
      </c>
      <c r="Q36" s="13">
        <f t="shared" si="6"/>
        <v>4543.5704087666672</v>
      </c>
      <c r="R36" s="13">
        <f>MAX(0,$Q36-FARMER_HOURS)</f>
        <v>3823.5704087666672</v>
      </c>
      <c r="S36" s="17">
        <f>MIN($Q36,FARMER_HOURS)*FARMER_WAGE+IF(LABOR_MODE=1,$R36,ROUNDUP($R36/TEMP_HOURS_PER_WORKER,0)*TEMP_HOURS_PER_WORKER)*TEMP_WAGE</f>
        <v>91375.582296189328</v>
      </c>
      <c r="T36" s="17">
        <f t="shared" si="7"/>
        <v>709.37892522504262</v>
      </c>
      <c r="U36" s="17">
        <f>IF($N36=0,"",$T36+FERT_CARROT)</f>
        <v>1149.3789252250426</v>
      </c>
      <c r="V36" s="17">
        <f>IF($N36=0,"",PRICE_CARROT-$U36)</f>
        <v>944.62107477495738</v>
      </c>
    </row>
    <row r="37" spans="1:22" x14ac:dyDescent="0.2">
      <c r="A37">
        <v>8</v>
      </c>
      <c r="B37" s="13" cm="1">
        <f t="array" ref="B37">INDEX(Labor!$C$5:$C$36,$A37+1)</f>
        <v>292.29972872421928</v>
      </c>
      <c r="C37" s="13">
        <f>MIN($B37,FARMER_HOURS)</f>
        <v>292.29972872421928</v>
      </c>
      <c r="D37" s="13">
        <f>MAX(0,$B37-FARMER_HOURS)</f>
        <v>0</v>
      </c>
      <c r="E37" s="17">
        <f>$C37*FARMER_WAGE+IF(LABOR_MODE=1,$D37,ROUNDUP($D37/TEMP_HOURS_PER_WORKER,0)*TEMP_HOURS_PER_WORKER)*TEMP_WAGE</f>
        <v>10148.646581304893</v>
      </c>
      <c r="F37" s="18">
        <f t="shared" si="4"/>
        <v>34.72</v>
      </c>
      <c r="G37" s="17">
        <f>$A37*FERT_CARROT</f>
        <v>3520</v>
      </c>
      <c r="H37" s="17">
        <f>$A37*PRICE_CARROT</f>
        <v>16752</v>
      </c>
      <c r="I37" s="17">
        <f t="shared" si="5"/>
        <v>1485.1677923860807</v>
      </c>
      <c r="J37" s="17">
        <f>IF($A37=0,"",$I37+FERT_CARROT)</f>
        <v>1925.1677923860807</v>
      </c>
      <c r="K37" s="17">
        <f>IF($A37=0,"",PRICE_CARROT-$J37)</f>
        <v>168.83220761391931</v>
      </c>
      <c r="L37" s="17">
        <f>$H37-$E37-$G37-FIXED_COST</f>
        <v>-16916.646581304893</v>
      </c>
      <c r="N37">
        <v>8</v>
      </c>
      <c r="O37" s="13">
        <f>$N37*HRS_PER_BED_CARROT*WEEKS*(1+DIM_PCT_CARROT)^$N37</f>
        <v>292.29972872421928</v>
      </c>
      <c r="P37" s="13">
        <f>Labor!$H$7+Labor!$H$9</f>
        <v>4294.0462500996509</v>
      </c>
      <c r="Q37" s="13">
        <f t="shared" si="6"/>
        <v>4586.3459788238706</v>
      </c>
      <c r="R37" s="13">
        <f>MAX(0,$Q37-FARMER_HOURS)</f>
        <v>3866.3459788238706</v>
      </c>
      <c r="S37" s="17">
        <f>MIN($Q37,FARMER_HOURS)*FARMER_WAGE+IF(LABOR_MODE=1,$R37,ROUNDUP($R37/TEMP_HOURS_PER_WORKER,0)*TEMP_HOURS_PER_WORKER)*TEMP_WAGE</f>
        <v>92118.166192382385</v>
      </c>
      <c r="T37" s="17">
        <f t="shared" si="7"/>
        <v>742.58389619305672</v>
      </c>
      <c r="U37" s="17">
        <f>IF($N37=0,"",$T37+FERT_CARROT)</f>
        <v>1182.5838961930567</v>
      </c>
      <c r="V37" s="17">
        <f>IF($N37=0,"",PRICE_CARROT-$U37)</f>
        <v>911.41610380694328</v>
      </c>
    </row>
    <row r="38" spans="1:22" x14ac:dyDescent="0.2">
      <c r="A38">
        <v>9</v>
      </c>
      <c r="B38" s="13" cm="1">
        <f t="array" ref="B38">INDEX(Labor!$C$5:$C$36,$A38+1)</f>
        <v>337.05812468511533</v>
      </c>
      <c r="C38" s="13">
        <f>MIN($B38,FARMER_HOURS)</f>
        <v>337.05812468511533</v>
      </c>
      <c r="D38" s="13">
        <f>MAX(0,$B38-FARMER_HOURS)</f>
        <v>0</v>
      </c>
      <c r="E38" s="17">
        <f>$C38*FARMER_WAGE+IF(LABOR_MODE=1,$D38,ROUNDUP($D38/TEMP_HOURS_PER_WORKER,0)*TEMP_HOURS_PER_WORKER)*TEMP_WAGE</f>
        <v>11702.658089067203</v>
      </c>
      <c r="F38" s="18">
        <f t="shared" si="4"/>
        <v>34.72</v>
      </c>
      <c r="G38" s="17">
        <f>$A38*FERT_CARROT</f>
        <v>3960</v>
      </c>
      <c r="H38" s="17">
        <f>$A38*PRICE_CARROT</f>
        <v>18846</v>
      </c>
      <c r="I38" s="17">
        <f t="shared" si="5"/>
        <v>1554.0115077623104</v>
      </c>
      <c r="J38" s="17">
        <f>IF($A38=0,"",$I38+FERT_CARROT)</f>
        <v>1994.0115077623104</v>
      </c>
      <c r="K38" s="17">
        <f>IF($A38=0,"",PRICE_CARROT-$J38)</f>
        <v>99.98849223768957</v>
      </c>
      <c r="L38" s="17">
        <f>$H38-$E38-$G38-FIXED_COST</f>
        <v>-16816.658089067205</v>
      </c>
      <c r="N38">
        <v>9</v>
      </c>
      <c r="O38" s="13">
        <f>$N38*HRS_PER_BED_CARROT*WEEKS*(1+DIM_PCT_CARROT)^$N38</f>
        <v>337.05812468511533</v>
      </c>
      <c r="P38" s="13">
        <f>Labor!$H$7+Labor!$H$9</f>
        <v>4294.0462500996509</v>
      </c>
      <c r="Q38" s="13">
        <f t="shared" si="6"/>
        <v>4631.1043747847662</v>
      </c>
      <c r="R38" s="13">
        <f>MAX(0,$Q38-FARMER_HOURS)</f>
        <v>3911.1043747847662</v>
      </c>
      <c r="S38" s="17">
        <f>MIN($Q38,FARMER_HOURS)*FARMER_WAGE+IF(LABOR_MODE=1,$R38,ROUNDUP($R38/TEMP_HOURS_PER_WORKER,0)*TEMP_HOURS_PER_WORKER)*TEMP_WAGE</f>
        <v>92895.171946263537</v>
      </c>
      <c r="T38" s="17">
        <f t="shared" si="7"/>
        <v>777.00575388115249</v>
      </c>
      <c r="U38" s="17">
        <f>IF($N38=0,"",$T38+FERT_CARROT)</f>
        <v>1217.0057538811525</v>
      </c>
      <c r="V38" s="17">
        <f>IF($N38=0,"",PRICE_CARROT-$U38)</f>
        <v>876.99424611884751</v>
      </c>
    </row>
    <row r="39" spans="1:22" x14ac:dyDescent="0.2">
      <c r="A39">
        <v>10</v>
      </c>
      <c r="B39" s="13" cm="1">
        <f t="array" ref="B39">INDEX(Labor!$C$5:$C$36,$A39+1)</f>
        <v>383.87175311360357</v>
      </c>
      <c r="C39" s="13">
        <f>MIN($B39,FARMER_HOURS)</f>
        <v>383.87175311360357</v>
      </c>
      <c r="D39" s="13">
        <f>MAX(0,$B39-FARMER_HOURS)</f>
        <v>0</v>
      </c>
      <c r="E39" s="17">
        <f>$C39*FARMER_WAGE+IF(LABOR_MODE=1,$D39,ROUNDUP($D39/TEMP_HOURS_PER_WORKER,0)*TEMP_HOURS_PER_WORKER)*TEMP_WAGE</f>
        <v>13328.027268104315</v>
      </c>
      <c r="F39" s="18">
        <f t="shared" si="4"/>
        <v>34.72</v>
      </c>
      <c r="G39" s="17">
        <f>$A39*FERT_CARROT</f>
        <v>4400</v>
      </c>
      <c r="H39" s="17">
        <f>$A39*PRICE_CARROT</f>
        <v>20940</v>
      </c>
      <c r="I39" s="17">
        <f t="shared" si="5"/>
        <v>1625.3691790371122</v>
      </c>
      <c r="J39" s="17">
        <f>IF($A39=0,"",$I39+FERT_CARROT)</f>
        <v>2065.3691790371122</v>
      </c>
      <c r="K39" s="17">
        <f>IF($A39=0,"",PRICE_CARROT-$J39)</f>
        <v>28.63082096288781</v>
      </c>
      <c r="L39" s="17">
        <f>$H39-$E39-$G39-FIXED_COST</f>
        <v>-16788.027268104313</v>
      </c>
      <c r="N39">
        <v>10</v>
      </c>
      <c r="O39" s="13">
        <f>$N39*HRS_PER_BED_CARROT*WEEKS*(1+DIM_PCT_CARROT)^$N39</f>
        <v>383.87175311360357</v>
      </c>
      <c r="P39" s="13">
        <f>Labor!$H$7+Labor!$H$9</f>
        <v>4294.0462500996509</v>
      </c>
      <c r="Q39" s="13">
        <f t="shared" si="6"/>
        <v>4677.9180032132545</v>
      </c>
      <c r="R39" s="13">
        <f>MAX(0,$Q39-FARMER_HOURS)</f>
        <v>3957.9180032132545</v>
      </c>
      <c r="S39" s="17">
        <f>MIN($Q39,FARMER_HOURS)*FARMER_WAGE+IF(LABOR_MODE=1,$R39,ROUNDUP($R39/TEMP_HOURS_PER_WORKER,0)*TEMP_HOURS_PER_WORKER)*TEMP_WAGE</f>
        <v>93707.856535782092</v>
      </c>
      <c r="T39" s="17">
        <f t="shared" si="7"/>
        <v>812.68458951855428</v>
      </c>
      <c r="U39" s="17">
        <f>IF($N39=0,"",$T39+FERT_CARROT)</f>
        <v>1252.6845895185543</v>
      </c>
      <c r="V39" s="17">
        <f>IF($N39=0,"",PRICE_CARROT-$U39)</f>
        <v>841.31541048144572</v>
      </c>
    </row>
    <row r="40" spans="1:22" x14ac:dyDescent="0.2">
      <c r="A40">
        <v>11</v>
      </c>
      <c r="B40" s="13" cm="1">
        <f t="array" ref="B40">INDEX(Labor!$C$5:$C$36,$A40+1)</f>
        <v>432.81540163558799</v>
      </c>
      <c r="C40" s="13">
        <f>MIN($B40,FARMER_HOURS)</f>
        <v>432.81540163558799</v>
      </c>
      <c r="D40" s="13">
        <f>MAX(0,$B40-FARMER_HOURS)</f>
        <v>0</v>
      </c>
      <c r="E40" s="17">
        <f>$C40*FARMER_WAGE+IF(LABOR_MODE=1,$D40,ROUNDUP($D40/TEMP_HOURS_PER_WORKER,0)*TEMP_HOURS_PER_WORKER)*TEMP_WAGE</f>
        <v>15027.350744787615</v>
      </c>
      <c r="F40" s="18">
        <f t="shared" si="4"/>
        <v>34.72</v>
      </c>
      <c r="G40" s="17">
        <f>$A40*FERT_CARROT</f>
        <v>4840</v>
      </c>
      <c r="H40" s="17">
        <f>$A40*PRICE_CARROT</f>
        <v>23034</v>
      </c>
      <c r="I40" s="17">
        <f t="shared" si="5"/>
        <v>1699.3234766832993</v>
      </c>
      <c r="J40" s="17">
        <f>IF($A40=0,"",$I40+FERT_CARROT)</f>
        <v>2139.3234766832993</v>
      </c>
      <c r="K40" s="17">
        <f>IF($A40=0,"",PRICE_CARROT-$J40)</f>
        <v>-45.323476683299305</v>
      </c>
      <c r="L40" s="17">
        <f>$H40-$E40-$G40-FIXED_COST</f>
        <v>-16833.350744787615</v>
      </c>
      <c r="N40">
        <v>11</v>
      </c>
      <c r="O40" s="13">
        <f>$N40*HRS_PER_BED_CARROT*WEEKS*(1+DIM_PCT_CARROT)^$N40</f>
        <v>432.81540163558799</v>
      </c>
      <c r="P40" s="13">
        <f>Labor!$H$7+Labor!$H$9</f>
        <v>4294.0462500996509</v>
      </c>
      <c r="Q40" s="13">
        <f t="shared" si="6"/>
        <v>4726.8616517352393</v>
      </c>
      <c r="R40" s="13">
        <f>MAX(0,$Q40-FARMER_HOURS)</f>
        <v>4006.8616517352393</v>
      </c>
      <c r="S40" s="17">
        <f>MIN($Q40,FARMER_HOURS)*FARMER_WAGE+IF(LABOR_MODE=1,$R40,ROUNDUP($R40/TEMP_HOURS_PER_WORKER,0)*TEMP_HOURS_PER_WORKER)*TEMP_WAGE</f>
        <v>94557.518274123751</v>
      </c>
      <c r="T40" s="17">
        <f t="shared" si="7"/>
        <v>849.66173834165966</v>
      </c>
      <c r="U40" s="17">
        <f>IF($N40=0,"",$T40+FERT_CARROT)</f>
        <v>1289.6617383416597</v>
      </c>
      <c r="V40" s="17">
        <f>IF($N40=0,"",PRICE_CARROT-$U40)</f>
        <v>804.33826165834034</v>
      </c>
    </row>
    <row r="41" spans="1:22" x14ac:dyDescent="0.2">
      <c r="A41">
        <v>12</v>
      </c>
      <c r="B41" s="13" cm="1">
        <f t="array" ref="B41">INDEX(Labor!$C$5:$C$36,$A41+1)</f>
        <v>483.96631273797556</v>
      </c>
      <c r="C41" s="13">
        <f>MIN($B41,FARMER_HOURS)</f>
        <v>483.96631273797556</v>
      </c>
      <c r="D41" s="13">
        <f>MAX(0,$B41-FARMER_HOURS)</f>
        <v>0</v>
      </c>
      <c r="E41" s="17">
        <f>$C41*FARMER_WAGE+IF(LABOR_MODE=1,$D41,ROUNDUP($D41/TEMP_HOURS_PER_WORKER,0)*TEMP_HOURS_PER_WORKER)*TEMP_WAGE</f>
        <v>16803.310378262511</v>
      </c>
      <c r="F41" s="18">
        <f t="shared" si="4"/>
        <v>34.72</v>
      </c>
      <c r="G41" s="17">
        <f>$A41*FERT_CARROT</f>
        <v>5280</v>
      </c>
      <c r="H41" s="17">
        <f>$A41*PRICE_CARROT</f>
        <v>25128</v>
      </c>
      <c r="I41" s="17">
        <f t="shared" si="5"/>
        <v>1775.9596334748967</v>
      </c>
      <c r="J41" s="17">
        <f>IF($A41=0,"",$I41+FERT_CARROT)</f>
        <v>2215.9596334748967</v>
      </c>
      <c r="K41" s="17">
        <f>IF($A41=0,"",PRICE_CARROT-$J41)</f>
        <v>-121.95963347489669</v>
      </c>
      <c r="L41" s="17">
        <f>$H41-$E41-$G41-FIXED_COST</f>
        <v>-16955.310378262511</v>
      </c>
      <c r="N41">
        <v>12</v>
      </c>
      <c r="O41" s="13">
        <f>$N41*HRS_PER_BED_CARROT*WEEKS*(1+DIM_PCT_CARROT)^$N41</f>
        <v>483.96631273797556</v>
      </c>
      <c r="P41" s="13">
        <f>Labor!$H$7+Labor!$H$9</f>
        <v>4294.0462500996509</v>
      </c>
      <c r="Q41" s="13">
        <f t="shared" si="6"/>
        <v>4778.0125628376263</v>
      </c>
      <c r="R41" s="13">
        <f>MAX(0,$Q41-FARMER_HOURS)</f>
        <v>4058.0125628376263</v>
      </c>
      <c r="S41" s="17">
        <f>MIN($Q41,FARMER_HOURS)*FARMER_WAGE+IF(LABOR_MODE=1,$R41,ROUNDUP($R41/TEMP_HOURS_PER_WORKER,0)*TEMP_HOURS_PER_WORKER)*TEMP_WAGE</f>
        <v>95445.498090861191</v>
      </c>
      <c r="T41" s="17">
        <f t="shared" si="7"/>
        <v>887.97981673743925</v>
      </c>
      <c r="U41" s="17">
        <f>IF($N41=0,"",$T41+FERT_CARROT)</f>
        <v>1327.9798167374393</v>
      </c>
      <c r="V41" s="17">
        <f>IF($N41=0,"",PRICE_CARROT-$U41)</f>
        <v>766.02018326256075</v>
      </c>
    </row>
    <row r="42" spans="1:22" x14ac:dyDescent="0.2">
      <c r="A42">
        <v>13</v>
      </c>
      <c r="B42" s="13" cm="1">
        <f t="array" ref="B42">INDEX(Labor!$C$5:$C$36,$A42+1)</f>
        <v>537.4042597694604</v>
      </c>
      <c r="C42" s="13">
        <f>MIN($B42,FARMER_HOURS)</f>
        <v>537.4042597694604</v>
      </c>
      <c r="D42" s="13">
        <f>MAX(0,$B42-FARMER_HOURS)</f>
        <v>0</v>
      </c>
      <c r="E42" s="17">
        <f>$C42*FARMER_WAGE+IF(LABOR_MODE=1,$D42,ROUNDUP($D42/TEMP_HOURS_PER_WORKER,0)*TEMP_HOURS_PER_WORKER)*TEMP_WAGE</f>
        <v>18658.675899195663</v>
      </c>
      <c r="F42" s="18">
        <f t="shared" si="4"/>
        <v>34.72</v>
      </c>
      <c r="G42" s="17">
        <f>$A42*FERT_CARROT</f>
        <v>5720</v>
      </c>
      <c r="H42" s="17">
        <f>$A42*PRICE_CARROT</f>
        <v>27222</v>
      </c>
      <c r="I42" s="17">
        <f t="shared" si="5"/>
        <v>1855.3655209331519</v>
      </c>
      <c r="J42" s="17">
        <f>IF($A42=0,"",$I42+FERT_CARROT)</f>
        <v>2295.3655209331519</v>
      </c>
      <c r="K42" s="17">
        <f>IF($A42=0,"",PRICE_CARROT-$J42)</f>
        <v>-201.36552093315186</v>
      </c>
      <c r="L42" s="17">
        <f>$H42-$E42-$G42-FIXED_COST</f>
        <v>-17156.675899195663</v>
      </c>
      <c r="N42">
        <v>13</v>
      </c>
      <c r="O42" s="13">
        <f>$N42*HRS_PER_BED_CARROT*WEEKS*(1+DIM_PCT_CARROT)^$N42</f>
        <v>537.4042597694604</v>
      </c>
      <c r="P42" s="13">
        <f>Labor!$H$7+Labor!$H$9</f>
        <v>4294.0462500996509</v>
      </c>
      <c r="Q42" s="13">
        <f t="shared" si="6"/>
        <v>4831.4505098691116</v>
      </c>
      <c r="R42" s="13">
        <f>MAX(0,$Q42-FARMER_HOURS)</f>
        <v>4111.4505098691116</v>
      </c>
      <c r="S42" s="17">
        <f>MIN($Q42,FARMER_HOURS)*FARMER_WAGE+IF(LABOR_MODE=1,$R42,ROUNDUP($R42/TEMP_HOURS_PER_WORKER,0)*TEMP_HOURS_PER_WORKER)*TEMP_WAGE</f>
        <v>96373.180851327765</v>
      </c>
      <c r="T42" s="17">
        <f t="shared" si="7"/>
        <v>927.68276046657411</v>
      </c>
      <c r="U42" s="17">
        <f>IF($N42=0,"",$T42+FERT_CARROT)</f>
        <v>1367.6827604665741</v>
      </c>
      <c r="V42" s="17">
        <f>IF($N42=0,"",PRICE_CARROT-$U42)</f>
        <v>726.31723953342589</v>
      </c>
    </row>
    <row r="43" spans="1:22" x14ac:dyDescent="0.2">
      <c r="A43">
        <v>14</v>
      </c>
      <c r="B43" s="13" cm="1">
        <f t="array" ref="B43">INDEX(Labor!$C$5:$C$36,$A43+1)</f>
        <v>593.2116252070582</v>
      </c>
      <c r="C43" s="13">
        <f>MIN($B43,FARMER_HOURS)</f>
        <v>593.2116252070582</v>
      </c>
      <c r="D43" s="13">
        <f>MAX(0,$B43-FARMER_HOURS)</f>
        <v>0</v>
      </c>
      <c r="E43" s="17">
        <f>$C43*FARMER_WAGE+IF(LABOR_MODE=1,$D43,ROUNDUP($D43/TEMP_HOURS_PER_WORKER,0)*TEMP_HOURS_PER_WORKER)*TEMP_WAGE</f>
        <v>20596.30762718906</v>
      </c>
      <c r="F43" s="18">
        <f t="shared" si="4"/>
        <v>34.72</v>
      </c>
      <c r="G43" s="17">
        <f>$A43*FERT_CARROT</f>
        <v>6160</v>
      </c>
      <c r="H43" s="17">
        <f>$A43*PRICE_CARROT</f>
        <v>29316</v>
      </c>
      <c r="I43" s="17">
        <f t="shared" si="5"/>
        <v>1937.6317279933974</v>
      </c>
      <c r="J43" s="17">
        <f>IF($A43=0,"",$I43+FERT_CARROT)</f>
        <v>2377.6317279933974</v>
      </c>
      <c r="K43" s="17">
        <f>IF($A43=0,"",PRICE_CARROT-$J43)</f>
        <v>-283.63172799339736</v>
      </c>
      <c r="L43" s="17">
        <f>$H43-$E43-$G43-FIXED_COST</f>
        <v>-17440.30762718906</v>
      </c>
      <c r="N43">
        <v>14</v>
      </c>
      <c r="O43" s="13">
        <f>$N43*HRS_PER_BED_CARROT*WEEKS*(1+DIM_PCT_CARROT)^$N43</f>
        <v>593.2116252070582</v>
      </c>
      <c r="P43" s="13">
        <f>Labor!$H$7+Labor!$H$9</f>
        <v>4294.0462500996509</v>
      </c>
      <c r="Q43" s="13">
        <f t="shared" si="6"/>
        <v>4887.2578753067091</v>
      </c>
      <c r="R43" s="13">
        <f>MAX(0,$Q43-FARMER_HOURS)</f>
        <v>4167.2578753067091</v>
      </c>
      <c r="S43" s="17">
        <f>MIN($Q43,FARMER_HOURS)*FARMER_WAGE+IF(LABOR_MODE=1,$R43,ROUNDUP($R43/TEMP_HOURS_PER_WORKER,0)*TEMP_HOURS_PER_WORKER)*TEMP_WAGE</f>
        <v>97341.996715324465</v>
      </c>
      <c r="T43" s="17">
        <f t="shared" si="7"/>
        <v>968.8158639967005</v>
      </c>
      <c r="U43" s="17">
        <f>IF($N43=0,"",$T43+FERT_CARROT)</f>
        <v>1408.8158639967005</v>
      </c>
      <c r="V43" s="17">
        <f>IF($N43=0,"",PRICE_CARROT-$U43)</f>
        <v>685.1841360032995</v>
      </c>
    </row>
    <row r="44" spans="1:22" x14ac:dyDescent="0.2">
      <c r="A44">
        <v>15</v>
      </c>
      <c r="B44" s="13" cm="1">
        <f t="array" ref="B44">INDEX(Labor!$C$5:$C$36,$A44+1)</f>
        <v>651.47348125418</v>
      </c>
      <c r="C44" s="13">
        <f>MIN($B44,FARMER_HOURS)</f>
        <v>651.47348125418</v>
      </c>
      <c r="D44" s="13">
        <f>MAX(0,$B44-FARMER_HOURS)</f>
        <v>0</v>
      </c>
      <c r="E44" s="17">
        <f>$C44*FARMER_WAGE+IF(LABOR_MODE=1,$D44,ROUNDUP($D44/TEMP_HOURS_PER_WORKER,0)*TEMP_HOURS_PER_WORKER)*TEMP_WAGE</f>
        <v>22619.15926914513</v>
      </c>
      <c r="F44" s="18">
        <f t="shared" si="4"/>
        <v>34.72</v>
      </c>
      <c r="G44" s="17">
        <f>$A44*FERT_CARROT</f>
        <v>6600</v>
      </c>
      <c r="H44" s="17">
        <f>$A44*PRICE_CARROT</f>
        <v>31410</v>
      </c>
      <c r="I44" s="17">
        <f t="shared" si="5"/>
        <v>2022.8516419560692</v>
      </c>
      <c r="J44" s="17">
        <f>IF($A44=0,"",$I44+FERT_CARROT)</f>
        <v>2462.8516419560692</v>
      </c>
      <c r="K44" s="17">
        <f>IF($A44=0,"",PRICE_CARROT-$J44)</f>
        <v>-368.85164195606922</v>
      </c>
      <c r="L44" s="17">
        <f>$H44-$E44-$G44-FIXED_COST</f>
        <v>-17809.15926914513</v>
      </c>
      <c r="N44">
        <v>15</v>
      </c>
      <c r="O44" s="13">
        <f>$N44*HRS_PER_BED_CARROT*WEEKS*(1+DIM_PCT_CARROT)^$N44</f>
        <v>651.47348125418</v>
      </c>
      <c r="P44" s="13">
        <f>Labor!$H$7+Labor!$H$9</f>
        <v>4294.0462500996509</v>
      </c>
      <c r="Q44" s="13">
        <f t="shared" si="6"/>
        <v>4945.519731353831</v>
      </c>
      <c r="R44" s="13">
        <f>MAX(0,$Q44-FARMER_HOURS)</f>
        <v>4225.519731353831</v>
      </c>
      <c r="S44" s="17">
        <f>MIN($Q44,FARMER_HOURS)*FARMER_WAGE+IF(LABOR_MODE=1,$R44,ROUNDUP($R44/TEMP_HOURS_PER_WORKER,0)*TEMP_HOURS_PER_WORKER)*TEMP_WAGE</f>
        <v>98353.422536302503</v>
      </c>
      <c r="T44" s="17">
        <f t="shared" si="7"/>
        <v>1011.4258209780382</v>
      </c>
      <c r="U44" s="17">
        <f>IF($N44=0,"",$T44+FERT_CARROT)</f>
        <v>1451.4258209780382</v>
      </c>
      <c r="V44" s="17">
        <f>IF($N44=0,"",PRICE_CARROT-$U44)</f>
        <v>642.57417902196175</v>
      </c>
    </row>
    <row r="45" spans="1:22" x14ac:dyDescent="0.2">
      <c r="A45">
        <v>16</v>
      </c>
      <c r="B45" s="13" cm="1">
        <f t="array" ref="B45">INDEX(Labor!$C$5:$C$36,$A45+1)</f>
        <v>712.27767283790342</v>
      </c>
      <c r="C45" s="13">
        <f>MIN($B45,FARMER_HOURS)</f>
        <v>712.27767283790342</v>
      </c>
      <c r="D45" s="13">
        <f>MAX(0,$B45-FARMER_HOURS)</f>
        <v>0</v>
      </c>
      <c r="E45" s="17">
        <f>$C45*FARMER_WAGE+IF(LABOR_MODE=1,$D45,ROUNDUP($D45/TEMP_HOURS_PER_WORKER,0)*TEMP_HOURS_PER_WORKER)*TEMP_WAGE</f>
        <v>24730.280800932007</v>
      </c>
      <c r="F45" s="18">
        <f t="shared" si="4"/>
        <v>34.72</v>
      </c>
      <c r="G45" s="17">
        <f>$A45*FERT_CARROT</f>
        <v>7040</v>
      </c>
      <c r="H45" s="17">
        <f>$A45*PRICE_CARROT</f>
        <v>33504</v>
      </c>
      <c r="I45" s="17">
        <f t="shared" si="5"/>
        <v>2111.1215317868773</v>
      </c>
      <c r="J45" s="17">
        <f>IF($A45=0,"",$I45+FERT_CARROT)</f>
        <v>2551.1215317868773</v>
      </c>
      <c r="K45" s="17">
        <f>IF($A45=0,"",PRICE_CARROT-$J45)</f>
        <v>-457.12153178687731</v>
      </c>
      <c r="L45" s="17">
        <f>$H45-$E45-$G45-FIXED_COST</f>
        <v>-18266.280800932007</v>
      </c>
      <c r="N45">
        <v>16</v>
      </c>
      <c r="O45" s="13">
        <f>$N45*HRS_PER_BED_CARROT*WEEKS*(1+DIM_PCT_CARROT)^$N45</f>
        <v>712.27767283790342</v>
      </c>
      <c r="P45" s="13">
        <f>Labor!$H$7+Labor!$H$9</f>
        <v>4294.0462500996509</v>
      </c>
      <c r="Q45" s="13">
        <f t="shared" si="6"/>
        <v>5006.323922937554</v>
      </c>
      <c r="R45" s="13">
        <f>MAX(0,$Q45-FARMER_HOURS)</f>
        <v>4286.323922937554</v>
      </c>
      <c r="S45" s="17">
        <f>MIN($Q45,FARMER_HOURS)*FARMER_WAGE+IF(LABOR_MODE=1,$R45,ROUNDUP($R45/TEMP_HOURS_PER_WORKER,0)*TEMP_HOURS_PER_WORKER)*TEMP_WAGE</f>
        <v>99408.983302195935</v>
      </c>
      <c r="T45" s="17">
        <f t="shared" si="7"/>
        <v>1055.5607658934314</v>
      </c>
      <c r="U45" s="17">
        <f>IF($N45=0,"",$T45+FERT_CARROT)</f>
        <v>1495.5607658934314</v>
      </c>
      <c r="V45" s="17">
        <f>IF($N45=0,"",PRICE_CARROT-$U45)</f>
        <v>598.43923410656862</v>
      </c>
    </row>
    <row r="46" spans="1:22" x14ac:dyDescent="0.2">
      <c r="A46">
        <v>17</v>
      </c>
      <c r="B46" s="13" cm="1">
        <f t="array" ref="B46">INDEX(Labor!$C$5:$C$36,$A46+1)</f>
        <v>775.71490307502916</v>
      </c>
      <c r="C46" s="13">
        <f>MIN($B46,FARMER_HOURS)</f>
        <v>720</v>
      </c>
      <c r="D46" s="13">
        <f>MAX(0,$B46-FARMER_HOURS)</f>
        <v>55.714903075029156</v>
      </c>
      <c r="E46" s="17">
        <f>$C46*FARMER_WAGE+IF(LABOR_MODE=1,$D46,ROUNDUP($D46/TEMP_HOURS_PER_WORKER,0)*TEMP_HOURS_PER_WORKER)*TEMP_WAGE</f>
        <v>25965.610717382504</v>
      </c>
      <c r="F46" s="18">
        <f t="shared" si="4"/>
        <v>33.473136347453988</v>
      </c>
      <c r="G46" s="17">
        <f>$A46*FERT_CARROT</f>
        <v>7480</v>
      </c>
      <c r="H46" s="17">
        <f>$A46*PRICE_CARROT</f>
        <v>35598</v>
      </c>
      <c r="I46" s="17">
        <f t="shared" si="5"/>
        <v>1235.329916450497</v>
      </c>
      <c r="J46" s="17">
        <f>IF($A46=0,"",$I46+FERT_CARROT)</f>
        <v>1675.329916450497</v>
      </c>
      <c r="K46" s="17">
        <f>IF($A46=0,"",PRICE_CARROT-$J46)</f>
        <v>418.67008354950303</v>
      </c>
      <c r="L46" s="17">
        <f>$H46-$E46-$G46-FIXED_COST</f>
        <v>-17847.610717382504</v>
      </c>
      <c r="N46">
        <v>17</v>
      </c>
      <c r="O46" s="13">
        <f>$N46*HRS_PER_BED_CARROT*WEEKS*(1+DIM_PCT_CARROT)^$N46</f>
        <v>775.71490307502916</v>
      </c>
      <c r="P46" s="13">
        <f>Labor!$H$7+Labor!$H$9</f>
        <v>4294.0462500996509</v>
      </c>
      <c r="Q46" s="13">
        <f t="shared" si="6"/>
        <v>5069.7611531746797</v>
      </c>
      <c r="R46" s="13">
        <f>MAX(0,$Q46-FARMER_HOURS)</f>
        <v>4349.7611531746797</v>
      </c>
      <c r="S46" s="17">
        <f>MIN($Q46,FARMER_HOURS)*FARMER_WAGE+IF(LABOR_MODE=1,$R46,ROUNDUP($R46/TEMP_HOURS_PER_WORKER,0)*TEMP_HOURS_PER_WORKER)*TEMP_WAGE</f>
        <v>100510.25361911244</v>
      </c>
      <c r="T46" s="17">
        <f t="shared" si="7"/>
        <v>1101.2703169165034</v>
      </c>
      <c r="U46" s="17">
        <f>IF($N46=0,"",$T46+FERT_CARROT)</f>
        <v>1541.2703169165034</v>
      </c>
      <c r="V46" s="17">
        <f>IF($N46=0,"",PRICE_CARROT-$U46)</f>
        <v>552.72968308349664</v>
      </c>
    </row>
    <row r="47" spans="1:22" x14ac:dyDescent="0.2">
      <c r="A47">
        <v>18</v>
      </c>
      <c r="B47" s="13" cm="1">
        <f t="array" ref="B47">INDEX(Labor!$C$5:$C$36,$A47+1)</f>
        <v>841.87882127848752</v>
      </c>
      <c r="C47" s="13">
        <f>MIN($B47,FARMER_HOURS)</f>
        <v>720</v>
      </c>
      <c r="D47" s="13">
        <f>MAX(0,$B47-FARMER_HOURS)</f>
        <v>121.87882127848752</v>
      </c>
      <c r="E47" s="17">
        <f>$C47*FARMER_WAGE+IF(LABOR_MODE=1,$D47,ROUNDUP($D47/TEMP_HOURS_PER_WORKER,0)*TEMP_HOURS_PER_WORKER)*TEMP_WAGE</f>
        <v>27114.21633739454</v>
      </c>
      <c r="F47" s="18">
        <f t="shared" si="4"/>
        <v>32.206792298467086</v>
      </c>
      <c r="G47" s="17">
        <f>$A47*FERT_CARROT</f>
        <v>7920</v>
      </c>
      <c r="H47" s="17">
        <f>$A47*PRICE_CARROT</f>
        <v>37692</v>
      </c>
      <c r="I47" s="17">
        <f t="shared" si="5"/>
        <v>1148.6056200120365</v>
      </c>
      <c r="J47" s="17">
        <f>IF($A47=0,"",$I47+FERT_CARROT)</f>
        <v>1588.6056200120365</v>
      </c>
      <c r="K47" s="17">
        <f>IF($A47=0,"",PRICE_CARROT-$J47)</f>
        <v>505.39437998796348</v>
      </c>
      <c r="L47" s="17">
        <f>$H47-$E47-$G47-FIXED_COST</f>
        <v>-17342.21633739454</v>
      </c>
      <c r="N47">
        <v>18</v>
      </c>
      <c r="O47" s="13">
        <f>$N47*HRS_PER_BED_CARROT*WEEKS*(1+DIM_PCT_CARROT)^$N47</f>
        <v>841.87882127848752</v>
      </c>
      <c r="P47" s="13">
        <f>Labor!$H$7+Labor!$H$9</f>
        <v>4294.0462500996509</v>
      </c>
      <c r="Q47" s="13">
        <f t="shared" si="6"/>
        <v>5135.9250713781385</v>
      </c>
      <c r="R47" s="13">
        <f>MAX(0,$Q47-FARMER_HOURS)</f>
        <v>4415.9250713781385</v>
      </c>
      <c r="S47" s="17">
        <f>MIN($Q47,FARMER_HOURS)*FARMER_WAGE+IF(LABOR_MODE=1,$R47,ROUNDUP($R47/TEMP_HOURS_PER_WORKER,0)*TEMP_HOURS_PER_WORKER)*TEMP_WAGE</f>
        <v>101658.85923912447</v>
      </c>
      <c r="T47" s="17">
        <f t="shared" si="7"/>
        <v>1148.6056200120365</v>
      </c>
      <c r="U47" s="17">
        <f>IF($N47=0,"",$T47+FERT_CARROT)</f>
        <v>1588.6056200120365</v>
      </c>
      <c r="V47" s="17">
        <f>IF($N47=0,"",PRICE_CARROT-$U47)</f>
        <v>505.39437998796348</v>
      </c>
    </row>
    <row r="48" spans="1:22" x14ac:dyDescent="0.2">
      <c r="A48">
        <v>19</v>
      </c>
      <c r="B48" s="13" cm="1">
        <f t="array" ref="B48">INDEX(Labor!$C$5:$C$36,$A48+1)</f>
        <v>910.86611357769698</v>
      </c>
      <c r="C48" s="13">
        <f>MIN($B48,FARMER_HOURS)</f>
        <v>720</v>
      </c>
      <c r="D48" s="13">
        <f>MAX(0,$B48-FARMER_HOURS)</f>
        <v>190.86611357769698</v>
      </c>
      <c r="E48" s="17">
        <f>$C48*FARMER_WAGE+IF(LABOR_MODE=1,$D48,ROUNDUP($D48/TEMP_HOURS_PER_WORKER,0)*TEMP_HOURS_PER_WORKER)*TEMP_WAGE</f>
        <v>28311.835731708816</v>
      </c>
      <c r="F48" s="18">
        <f t="shared" si="4"/>
        <v>31.082324075605008</v>
      </c>
      <c r="G48" s="17">
        <f>$A48*FERT_CARROT</f>
        <v>8360</v>
      </c>
      <c r="H48" s="17">
        <f>$A48*PRICE_CARROT</f>
        <v>39786</v>
      </c>
      <c r="I48" s="17">
        <f t="shared" si="5"/>
        <v>1197.6193943142753</v>
      </c>
      <c r="J48" s="17">
        <f>IF($A48=0,"",$I48+FERT_CARROT)</f>
        <v>1637.6193943142753</v>
      </c>
      <c r="K48" s="17">
        <f>IF($A48=0,"",PRICE_CARROT-$J48)</f>
        <v>456.38060568572473</v>
      </c>
      <c r="L48" s="17">
        <f>$H48-$E48-$G48-FIXED_COST</f>
        <v>-16885.835731708816</v>
      </c>
      <c r="N48">
        <v>19</v>
      </c>
      <c r="O48" s="13">
        <f>$N48*HRS_PER_BED_CARROT*WEEKS*(1+DIM_PCT_CARROT)^$N48</f>
        <v>910.86611357769698</v>
      </c>
      <c r="P48" s="13">
        <f>Labor!$H$7+Labor!$H$9</f>
        <v>4294.0462500996509</v>
      </c>
      <c r="Q48" s="13">
        <f t="shared" si="6"/>
        <v>5204.9123636773475</v>
      </c>
      <c r="R48" s="13">
        <f>MAX(0,$Q48-FARMER_HOURS)</f>
        <v>4484.9123636773475</v>
      </c>
      <c r="S48" s="17">
        <f>MIN($Q48,FARMER_HOURS)*FARMER_WAGE+IF(LABOR_MODE=1,$R48,ROUNDUP($R48/TEMP_HOURS_PER_WORKER,0)*TEMP_HOURS_PER_WORKER)*TEMP_WAGE</f>
        <v>102856.47863343875</v>
      </c>
      <c r="T48" s="17">
        <f t="shared" si="7"/>
        <v>1197.6193943142716</v>
      </c>
      <c r="U48" s="17">
        <f>IF($N48=0,"",$T48+FERT_CARROT)</f>
        <v>1637.6193943142716</v>
      </c>
      <c r="V48" s="17">
        <f>IF($N48=0,"",PRICE_CARROT-$U48)</f>
        <v>456.38060568572837</v>
      </c>
    </row>
    <row r="49" spans="1:22" x14ac:dyDescent="0.2">
      <c r="A49">
        <v>20</v>
      </c>
      <c r="B49" s="13" cm="1">
        <f t="array" ref="B49">INDEX(Labor!$C$5:$C$36,$A49+1)</f>
        <v>982.77659622856766</v>
      </c>
      <c r="C49" s="13">
        <f>MIN($B49,FARMER_HOURS)</f>
        <v>720</v>
      </c>
      <c r="D49" s="13">
        <f>MAX(0,$B49-FARMER_HOURS)</f>
        <v>262.77659622856766</v>
      </c>
      <c r="E49" s="17">
        <f>$C49*FARMER_WAGE+IF(LABOR_MODE=1,$D49,ROUNDUP($D49/TEMP_HOURS_PER_WORKER,0)*TEMP_HOURS_PER_WORKER)*TEMP_WAGE</f>
        <v>29560.20171052793</v>
      </c>
      <c r="F49" s="18">
        <f t="shared" si="4"/>
        <v>30.078251582268056</v>
      </c>
      <c r="G49" s="17">
        <f>$A49*FERT_CARROT</f>
        <v>8800</v>
      </c>
      <c r="H49" s="17">
        <f>$A49*PRICE_CARROT</f>
        <v>41880</v>
      </c>
      <c r="I49" s="17">
        <f t="shared" si="5"/>
        <v>1248.3659788191144</v>
      </c>
      <c r="J49" s="17">
        <f>IF($A49=0,"",$I49+FERT_CARROT)</f>
        <v>1688.3659788191144</v>
      </c>
      <c r="K49" s="17">
        <f>IF($A49=0,"",PRICE_CARROT-$J49)</f>
        <v>405.63402118088561</v>
      </c>
      <c r="L49" s="17">
        <f>$H49-$E49-$G49-FIXED_COST</f>
        <v>-16480.20171052793</v>
      </c>
      <c r="N49">
        <v>20</v>
      </c>
      <c r="O49" s="13">
        <f>$N49*HRS_PER_BED_CARROT*WEEKS*(1+DIM_PCT_CARROT)^$N49</f>
        <v>982.77659622856766</v>
      </c>
      <c r="P49" s="13">
        <f>Labor!$H$7+Labor!$H$9</f>
        <v>4294.0462500996509</v>
      </c>
      <c r="Q49" s="13">
        <f t="shared" si="6"/>
        <v>5276.8228463282185</v>
      </c>
      <c r="R49" s="13">
        <f>MAX(0,$Q49-FARMER_HOURS)</f>
        <v>4556.8228463282185</v>
      </c>
      <c r="S49" s="17">
        <f>MIN($Q49,FARMER_HOURS)*FARMER_WAGE+IF(LABOR_MODE=1,$R49,ROUNDUP($R49/TEMP_HOURS_PER_WORKER,0)*TEMP_HOURS_PER_WORKER)*TEMP_WAGE</f>
        <v>104104.84461225786</v>
      </c>
      <c r="T49" s="17">
        <f t="shared" si="7"/>
        <v>1248.3659788191144</v>
      </c>
      <c r="U49" s="17">
        <f>IF($N49=0,"",$T49+FERT_CARROT)</f>
        <v>1688.3659788191144</v>
      </c>
      <c r="V49" s="17">
        <f>IF($N49=0,"",PRICE_CARROT-$U49)</f>
        <v>405.63402118088561</v>
      </c>
    </row>
    <row r="50" spans="1:22" x14ac:dyDescent="0.2">
      <c r="N50">
        <v>21</v>
      </c>
      <c r="O50" s="13">
        <f>$N50*HRS_PER_BED_CARROT*WEEKS*(1+DIM_PCT_CARROT)^$N50</f>
        <v>1057.7133116909956</v>
      </c>
      <c r="P50" s="13">
        <f>Labor!$H$7+Labor!$H$9</f>
        <v>4294.0462500996509</v>
      </c>
      <c r="Q50" s="13">
        <f t="shared" si="6"/>
        <v>5351.7595617906463</v>
      </c>
      <c r="R50" s="13">
        <f>MAX(0,$Q50-FARMER_HOURS)</f>
        <v>4631.7595617906463</v>
      </c>
      <c r="S50" s="17">
        <f>MIN($Q50,FARMER_HOURS)*FARMER_WAGE+IF(LABOR_MODE=1,$R50,ROUNDUP($R50/TEMP_HOURS_PER_WORKER,0)*TEMP_HOURS_PER_WORKER)*TEMP_WAGE</f>
        <v>105405.74599268561</v>
      </c>
      <c r="T50" s="17">
        <f t="shared" si="7"/>
        <v>1300.9013804277492</v>
      </c>
      <c r="U50" s="17">
        <f>IF($N50=0,"",$T50+FERT_CARROT)</f>
        <v>1740.9013804277492</v>
      </c>
      <c r="V50" s="17">
        <f>IF($N50=0,"",PRICE_CARROT-$U50)</f>
        <v>353.09861957225075</v>
      </c>
    </row>
    <row r="51" spans="1:22" x14ac:dyDescent="0.2">
      <c r="A51" s="14" t="s">
        <v>85</v>
      </c>
      <c r="N51" s="21" t="s">
        <v>94</v>
      </c>
    </row>
    <row r="52" spans="1:22" ht="34" x14ac:dyDescent="0.2">
      <c r="A52" s="20" t="s">
        <v>49</v>
      </c>
      <c r="B52" s="20" t="s">
        <v>73</v>
      </c>
      <c r="C52" s="20" t="s">
        <v>74</v>
      </c>
      <c r="D52" s="20" t="s">
        <v>75</v>
      </c>
      <c r="E52" s="20" t="s">
        <v>76</v>
      </c>
      <c r="F52" s="20" t="s">
        <v>77</v>
      </c>
      <c r="G52" s="20" t="s">
        <v>78</v>
      </c>
      <c r="H52" s="20" t="s">
        <v>79</v>
      </c>
      <c r="I52" s="20" t="s">
        <v>80</v>
      </c>
      <c r="J52" s="20" t="s">
        <v>81</v>
      </c>
      <c r="K52" s="20" t="s">
        <v>82</v>
      </c>
      <c r="L52" s="20" t="s">
        <v>83</v>
      </c>
      <c r="N52" s="22" t="s">
        <v>49</v>
      </c>
      <c r="O52" s="22" t="s">
        <v>89</v>
      </c>
      <c r="P52" s="22" t="s">
        <v>90</v>
      </c>
      <c r="Q52" s="22" t="s">
        <v>91</v>
      </c>
      <c r="R52" s="22" t="s">
        <v>75</v>
      </c>
      <c r="S52" s="22" t="s">
        <v>92</v>
      </c>
      <c r="T52" s="22" t="s">
        <v>80</v>
      </c>
      <c r="U52" s="22" t="s">
        <v>81</v>
      </c>
      <c r="V52" s="22" t="s">
        <v>82</v>
      </c>
    </row>
    <row r="53" spans="1:22" x14ac:dyDescent="0.2">
      <c r="A53">
        <v>0</v>
      </c>
      <c r="B53" s="13" cm="1">
        <f t="array" ref="B53">INDEX(Labor!$D$5:$D$36,$A53+1)</f>
        <v>0</v>
      </c>
      <c r="C53" s="13">
        <f>MIN($B53,FARMER_HOURS)</f>
        <v>0</v>
      </c>
      <c r="D53" s="13">
        <f>MAX(0,$B53-FARMER_HOURS)</f>
        <v>0</v>
      </c>
      <c r="E53" s="17">
        <f>$C53*FARMER_WAGE+IF(LABOR_MODE=1,$D53,ROUNDUP($D53/TEMP_HOURS_PER_WORKER,0)*TEMP_HOURS_PER_WORKER)*TEMP_WAGE</f>
        <v>0</v>
      </c>
      <c r="F53" s="18">
        <f>IF($B53=0,0,$E53/$B53)</f>
        <v>0</v>
      </c>
      <c r="G53" s="17">
        <f>$A53*FERT_MESCLUN</f>
        <v>0</v>
      </c>
      <c r="H53" s="17">
        <f>$A53*PRICE_MESCLUN</f>
        <v>0</v>
      </c>
      <c r="I53" s="17" t="str">
        <f>IF($A53=0,"",$E53-$E52)</f>
        <v/>
      </c>
      <c r="J53" s="17" t="str">
        <f>IF($A53=0,"",$I53+FERT_MESCLUN)</f>
        <v/>
      </c>
      <c r="K53" s="17" t="str">
        <f>IF($A53=0,"",PRICE_MESCLUN-$J53)</f>
        <v/>
      </c>
      <c r="L53" s="17">
        <f>$H53-$E53-$G53-FIXED_COST</f>
        <v>-20000</v>
      </c>
      <c r="N53">
        <v>0</v>
      </c>
      <c r="O53" s="13">
        <f>$N53*HRS_PER_BED_MESCLUN*WEEKS*(1+DIM_PCT_MESCLUN)^$N53</f>
        <v>0</v>
      </c>
      <c r="P53" s="13">
        <f>Labor!$H$7+Labor!$H$8</f>
        <v>3317.1448103185694</v>
      </c>
      <c r="Q53" s="13">
        <f>$O53+$P53</f>
        <v>3317.1448103185694</v>
      </c>
      <c r="R53" s="13">
        <f>MAX(0,$Q53-FARMER_HOURS)</f>
        <v>2597.1448103185694</v>
      </c>
      <c r="S53" s="17">
        <f>MIN($Q53,FARMER_HOURS)*FARMER_WAGE+IF(LABOR_MODE=1,$R53,ROUNDUP($R53/TEMP_HOURS_PER_WORKER,0)*TEMP_HOURS_PER_WORKER)*TEMP_WAGE</f>
        <v>70084.833907130364</v>
      </c>
      <c r="T53" s="17" t="str">
        <f>IF($N53=0,"",$S53-$S52)</f>
        <v/>
      </c>
      <c r="U53" s="17" t="str">
        <f>IF($N53=0,"",$T53+FERT_MESCLUN)</f>
        <v/>
      </c>
      <c r="V53" s="17" t="str">
        <f>IF($N53=0,"",PRICE_MESCLUN-$U53)</f>
        <v/>
      </c>
    </row>
    <row r="54" spans="1:22" x14ac:dyDescent="0.2">
      <c r="A54">
        <v>1</v>
      </c>
      <c r="B54" s="13" cm="1">
        <f t="array" ref="B54">INDEX(Labor!$D$5:$D$36,$A54+1)</f>
        <v>45.5625</v>
      </c>
      <c r="C54" s="13">
        <f>MIN($B54,FARMER_HOURS)</f>
        <v>45.5625</v>
      </c>
      <c r="D54" s="13">
        <f>MAX(0,$B54-FARMER_HOURS)</f>
        <v>0</v>
      </c>
      <c r="E54" s="17">
        <f>$C54*FARMER_WAGE+IF(LABOR_MODE=1,$D54,ROUNDUP($D54/TEMP_HOURS_PER_WORKER,0)*TEMP_HOURS_PER_WORKER)*TEMP_WAGE</f>
        <v>1581.9299999999998</v>
      </c>
      <c r="F54" s="18">
        <f t="shared" ref="F54:F83" si="8">IF($B54=0,0,$E54/$B54)</f>
        <v>34.72</v>
      </c>
      <c r="G54" s="17">
        <f>$A54*FERT_MESCLUN</f>
        <v>880</v>
      </c>
      <c r="H54" s="17">
        <f>$A54*PRICE_MESCLUN</f>
        <v>2700</v>
      </c>
      <c r="I54" s="17">
        <f t="shared" ref="I54:I83" si="9">IF($A54=0,"",$E54-$E53)</f>
        <v>1581.9299999999998</v>
      </c>
      <c r="J54" s="17">
        <f>IF($A54=0,"",$I54+FERT_MESCLUN)</f>
        <v>2461.9299999999998</v>
      </c>
      <c r="K54" s="17">
        <f>IF($A54=0,"",PRICE_MESCLUN-$J54)</f>
        <v>238.07000000000016</v>
      </c>
      <c r="L54" s="17">
        <f>$H54-$E54-$G54-FIXED_COST</f>
        <v>-19761.93</v>
      </c>
      <c r="N54">
        <v>1</v>
      </c>
      <c r="O54" s="13">
        <f>$N54*HRS_PER_BED_MESCLUN*WEEKS*(1+DIM_PCT_MESCLUN)^$N54</f>
        <v>45.5625</v>
      </c>
      <c r="P54" s="13">
        <f>Labor!$H$7+Labor!$H$8</f>
        <v>3317.1448103185694</v>
      </c>
      <c r="Q54" s="13">
        <f t="shared" ref="Q54:Q84" si="10">$O54+$P54</f>
        <v>3362.7073103185694</v>
      </c>
      <c r="R54" s="13">
        <f>MAX(0,$Q54-FARMER_HOURS)</f>
        <v>2642.7073103185694</v>
      </c>
      <c r="S54" s="17">
        <f>MIN($Q54,FARMER_HOURS)*FARMER_WAGE+IF(LABOR_MODE=1,$R54,ROUNDUP($R54/TEMP_HOURS_PER_WORKER,0)*TEMP_HOURS_PER_WORKER)*TEMP_WAGE</f>
        <v>70875.79890713036</v>
      </c>
      <c r="T54" s="17">
        <f t="shared" ref="T54:T84" si="11">IF($N54=0,"",$S54-$S53)</f>
        <v>790.96499999999651</v>
      </c>
      <c r="U54" s="17">
        <f>IF($N54=0,"",$T54+FERT_MESCLUN)</f>
        <v>1670.9649999999965</v>
      </c>
      <c r="V54" s="17">
        <f>IF($N54=0,"",PRICE_MESCLUN-$U54)</f>
        <v>1029.0350000000035</v>
      </c>
    </row>
    <row r="55" spans="1:22" x14ac:dyDescent="0.2">
      <c r="A55">
        <v>2</v>
      </c>
      <c r="B55" s="13" cm="1">
        <f t="array" ref="B55">INDEX(Labor!$D$5:$D$36,$A55+1)</f>
        <v>92.264062499999994</v>
      </c>
      <c r="C55" s="13">
        <f>MIN($B55,FARMER_HOURS)</f>
        <v>92.264062499999994</v>
      </c>
      <c r="D55" s="13">
        <f>MAX(0,$B55-FARMER_HOURS)</f>
        <v>0</v>
      </c>
      <c r="E55" s="17">
        <f>$C55*FARMER_WAGE+IF(LABOR_MODE=1,$D55,ROUNDUP($D55/TEMP_HOURS_PER_WORKER,0)*TEMP_HOURS_PER_WORKER)*TEMP_WAGE</f>
        <v>3203.4082499999995</v>
      </c>
      <c r="F55" s="18">
        <f t="shared" si="8"/>
        <v>34.72</v>
      </c>
      <c r="G55" s="17">
        <f>$A55*FERT_MESCLUN</f>
        <v>1760</v>
      </c>
      <c r="H55" s="17">
        <f>$A55*PRICE_MESCLUN</f>
        <v>5400</v>
      </c>
      <c r="I55" s="17">
        <f t="shared" si="9"/>
        <v>1621.4782499999997</v>
      </c>
      <c r="J55" s="17">
        <f>IF($A55=0,"",$I55+FERT_MESCLUN)</f>
        <v>2501.4782499999997</v>
      </c>
      <c r="K55" s="17">
        <f>IF($A55=0,"",PRICE_MESCLUN-$J55)</f>
        <v>198.52175000000034</v>
      </c>
      <c r="L55" s="17">
        <f>$H55-$E55-$G55-FIXED_COST</f>
        <v>-19563.40825</v>
      </c>
      <c r="N55">
        <v>2</v>
      </c>
      <c r="O55" s="13">
        <f>$N55*HRS_PER_BED_MESCLUN*WEEKS*(1+DIM_PCT_MESCLUN)^$N55</f>
        <v>92.264062499999994</v>
      </c>
      <c r="P55" s="13">
        <f>Labor!$H$7+Labor!$H$8</f>
        <v>3317.1448103185694</v>
      </c>
      <c r="Q55" s="13">
        <f t="shared" si="10"/>
        <v>3409.4088728185693</v>
      </c>
      <c r="R55" s="13">
        <f>MAX(0,$Q55-FARMER_HOURS)</f>
        <v>2689.4088728185693</v>
      </c>
      <c r="S55" s="17">
        <f>MIN($Q55,FARMER_HOURS)*FARMER_WAGE+IF(LABOR_MODE=1,$R55,ROUNDUP($R55/TEMP_HOURS_PER_WORKER,0)*TEMP_HOURS_PER_WORKER)*TEMP_WAGE</f>
        <v>71686.538032130353</v>
      </c>
      <c r="T55" s="17">
        <f t="shared" si="11"/>
        <v>810.73912499999278</v>
      </c>
      <c r="U55" s="17">
        <f>IF($N55=0,"",$T55+FERT_MESCLUN)</f>
        <v>1690.7391249999928</v>
      </c>
      <c r="V55" s="17">
        <f>IF($N55=0,"",PRICE_MESCLUN-$U55)</f>
        <v>1009.2608750000072</v>
      </c>
    </row>
    <row r="56" spans="1:22" x14ac:dyDescent="0.2">
      <c r="A56">
        <v>3</v>
      </c>
      <c r="B56" s="13" cm="1">
        <f t="array" ref="B56">INDEX(Labor!$D$5:$D$36,$A56+1)</f>
        <v>140.12604492187498</v>
      </c>
      <c r="C56" s="13">
        <f>MIN($B56,FARMER_HOURS)</f>
        <v>140.12604492187498</v>
      </c>
      <c r="D56" s="13">
        <f>MAX(0,$B56-FARMER_HOURS)</f>
        <v>0</v>
      </c>
      <c r="E56" s="17">
        <f>$C56*FARMER_WAGE+IF(LABOR_MODE=1,$D56,ROUNDUP($D56/TEMP_HOURS_PER_WORKER,0)*TEMP_HOURS_PER_WORKER)*TEMP_WAGE</f>
        <v>4865.1762796874991</v>
      </c>
      <c r="F56" s="18">
        <f t="shared" si="8"/>
        <v>34.72</v>
      </c>
      <c r="G56" s="17">
        <f>$A56*FERT_MESCLUN</f>
        <v>2640</v>
      </c>
      <c r="H56" s="17">
        <f>$A56*PRICE_MESCLUN</f>
        <v>8100</v>
      </c>
      <c r="I56" s="17">
        <f t="shared" si="9"/>
        <v>1661.7680296874996</v>
      </c>
      <c r="J56" s="17">
        <f>IF($A56=0,"",$I56+FERT_MESCLUN)</f>
        <v>2541.7680296874996</v>
      </c>
      <c r="K56" s="17">
        <f>IF($A56=0,"",PRICE_MESCLUN-$J56)</f>
        <v>158.23197031250038</v>
      </c>
      <c r="L56" s="17">
        <f>$H56-$E56-$G56-FIXED_COST</f>
        <v>-19405.176279687497</v>
      </c>
      <c r="N56">
        <v>3</v>
      </c>
      <c r="O56" s="13">
        <f>$N56*HRS_PER_BED_MESCLUN*WEEKS*(1+DIM_PCT_MESCLUN)^$N56</f>
        <v>140.12604492187498</v>
      </c>
      <c r="P56" s="13">
        <f>Labor!$H$7+Labor!$H$8</f>
        <v>3317.1448103185694</v>
      </c>
      <c r="Q56" s="13">
        <f t="shared" si="10"/>
        <v>3457.2708552404442</v>
      </c>
      <c r="R56" s="13">
        <f>MAX(0,$Q56-FARMER_HOURS)</f>
        <v>2737.2708552404442</v>
      </c>
      <c r="S56" s="17">
        <f>MIN($Q56,FARMER_HOURS)*FARMER_WAGE+IF(LABOR_MODE=1,$R56,ROUNDUP($R56/TEMP_HOURS_PER_WORKER,0)*TEMP_HOURS_PER_WORKER)*TEMP_WAGE</f>
        <v>72517.422046974112</v>
      </c>
      <c r="T56" s="17">
        <f t="shared" si="11"/>
        <v>830.88401484375936</v>
      </c>
      <c r="U56" s="17">
        <f>IF($N56=0,"",$T56+FERT_MESCLUN)</f>
        <v>1710.8840148437594</v>
      </c>
      <c r="V56" s="17">
        <f>IF($N56=0,"",PRICE_MESCLUN-$U56)</f>
        <v>989.11598515624064</v>
      </c>
    </row>
    <row r="57" spans="1:22" x14ac:dyDescent="0.2">
      <c r="A57">
        <v>4</v>
      </c>
      <c r="B57" s="13" cm="1">
        <f t="array" ref="B57">INDEX(Labor!$D$5:$D$36,$A57+1)</f>
        <v>189.17016064453125</v>
      </c>
      <c r="C57" s="13">
        <f>MIN($B57,FARMER_HOURS)</f>
        <v>189.17016064453125</v>
      </c>
      <c r="D57" s="13">
        <f>MAX(0,$B57-FARMER_HOURS)</f>
        <v>0</v>
      </c>
      <c r="E57" s="17">
        <f>$C57*FARMER_WAGE+IF(LABOR_MODE=1,$D57,ROUNDUP($D57/TEMP_HOURS_PER_WORKER,0)*TEMP_HOURS_PER_WORKER)*TEMP_WAGE</f>
        <v>6567.9879775781246</v>
      </c>
      <c r="F57" s="18">
        <f t="shared" si="8"/>
        <v>34.72</v>
      </c>
      <c r="G57" s="17">
        <f>$A57*FERT_MESCLUN</f>
        <v>3520</v>
      </c>
      <c r="H57" s="17">
        <f>$A57*PRICE_MESCLUN</f>
        <v>10800</v>
      </c>
      <c r="I57" s="17">
        <f t="shared" si="9"/>
        <v>1702.8116978906255</v>
      </c>
      <c r="J57" s="17">
        <f>IF($A57=0,"",$I57+FERT_MESCLUN)</f>
        <v>2582.8116978906255</v>
      </c>
      <c r="K57" s="17">
        <f>IF($A57=0,"",PRICE_MESCLUN-$J57)</f>
        <v>117.18830210937449</v>
      </c>
      <c r="L57" s="17">
        <f>$H57-$E57-$G57-FIXED_COST</f>
        <v>-19287.987977578123</v>
      </c>
      <c r="N57">
        <v>4</v>
      </c>
      <c r="O57" s="13">
        <f>$N57*HRS_PER_BED_MESCLUN*WEEKS*(1+DIM_PCT_MESCLUN)^$N57</f>
        <v>189.17016064453125</v>
      </c>
      <c r="P57" s="13">
        <f>Labor!$H$7+Labor!$H$8</f>
        <v>3317.1448103185694</v>
      </c>
      <c r="Q57" s="13">
        <f t="shared" si="10"/>
        <v>3506.3149709631007</v>
      </c>
      <c r="R57" s="13">
        <f>MAX(0,$Q57-FARMER_HOURS)</f>
        <v>2786.3149709631007</v>
      </c>
      <c r="S57" s="17">
        <f>MIN($Q57,FARMER_HOURS)*FARMER_WAGE+IF(LABOR_MODE=1,$R57,ROUNDUP($R57/TEMP_HOURS_PER_WORKER,0)*TEMP_HOURS_PER_WORKER)*TEMP_WAGE</f>
        <v>73368.827895919429</v>
      </c>
      <c r="T57" s="17">
        <f t="shared" si="11"/>
        <v>851.40584894531639</v>
      </c>
      <c r="U57" s="17">
        <f>IF($N57=0,"",$T57+FERT_MESCLUN)</f>
        <v>1731.4058489453164</v>
      </c>
      <c r="V57" s="17">
        <f>IF($N57=0,"",PRICE_MESCLUN-$U57)</f>
        <v>968.59415105468361</v>
      </c>
    </row>
    <row r="58" spans="1:22" x14ac:dyDescent="0.2">
      <c r="A58">
        <v>5</v>
      </c>
      <c r="B58" s="13" cm="1">
        <f t="array" ref="B58">INDEX(Labor!$D$5:$D$36,$A58+1)</f>
        <v>239.41848456573481</v>
      </c>
      <c r="C58" s="13">
        <f>MIN($B58,FARMER_HOURS)</f>
        <v>239.41848456573481</v>
      </c>
      <c r="D58" s="13">
        <f>MAX(0,$B58-FARMER_HOURS)</f>
        <v>0</v>
      </c>
      <c r="E58" s="17">
        <f>$C58*FARMER_WAGE+IF(LABOR_MODE=1,$D58,ROUNDUP($D58/TEMP_HOURS_PER_WORKER,0)*TEMP_HOURS_PER_WORKER)*TEMP_WAGE</f>
        <v>8312.6097841223127</v>
      </c>
      <c r="F58" s="18">
        <f t="shared" si="8"/>
        <v>34.72</v>
      </c>
      <c r="G58" s="17">
        <f>$A58*FERT_MESCLUN</f>
        <v>4400</v>
      </c>
      <c r="H58" s="17">
        <f>$A58*PRICE_MESCLUN</f>
        <v>13500</v>
      </c>
      <c r="I58" s="17">
        <f t="shared" si="9"/>
        <v>1744.6218065441881</v>
      </c>
      <c r="J58" s="17">
        <f>IF($A58=0,"",$I58+FERT_MESCLUN)</f>
        <v>2624.6218065441881</v>
      </c>
      <c r="K58" s="17">
        <f>IF($A58=0,"",PRICE_MESCLUN-$J58)</f>
        <v>75.378193455811925</v>
      </c>
      <c r="L58" s="17">
        <f>$H58-$E58-$G58-FIXED_COST</f>
        <v>-19212.609784122313</v>
      </c>
      <c r="N58">
        <v>5</v>
      </c>
      <c r="O58" s="13">
        <f>$N58*HRS_PER_BED_MESCLUN*WEEKS*(1+DIM_PCT_MESCLUN)^$N58</f>
        <v>239.41848456573481</v>
      </c>
      <c r="P58" s="13">
        <f>Labor!$H$7+Labor!$H$8</f>
        <v>3317.1448103185694</v>
      </c>
      <c r="Q58" s="13">
        <f t="shared" si="10"/>
        <v>3556.563294884304</v>
      </c>
      <c r="R58" s="13">
        <f>MAX(0,$Q58-FARMER_HOURS)</f>
        <v>2836.563294884304</v>
      </c>
      <c r="S58" s="17">
        <f>MIN($Q58,FARMER_HOURS)*FARMER_WAGE+IF(LABOR_MODE=1,$R58,ROUNDUP($R58/TEMP_HOURS_PER_WORKER,0)*TEMP_HOURS_PER_WORKER)*TEMP_WAGE</f>
        <v>74241.138799191511</v>
      </c>
      <c r="T58" s="17">
        <f t="shared" si="11"/>
        <v>872.31090327208221</v>
      </c>
      <c r="U58" s="17">
        <f>IF($N58=0,"",$T58+FERT_MESCLUN)</f>
        <v>1752.3109032720822</v>
      </c>
      <c r="V58" s="17">
        <f>IF($N58=0,"",PRICE_MESCLUN-$U58)</f>
        <v>947.68909672791779</v>
      </c>
    </row>
    <row r="59" spans="1:22" x14ac:dyDescent="0.2">
      <c r="A59">
        <v>6</v>
      </c>
      <c r="B59" s="13" cm="1">
        <f t="array" ref="B59">INDEX(Labor!$D$5:$D$36,$A59+1)</f>
        <v>290.89345874736784</v>
      </c>
      <c r="C59" s="13">
        <f>MIN($B59,FARMER_HOURS)</f>
        <v>290.89345874736784</v>
      </c>
      <c r="D59" s="13">
        <f>MAX(0,$B59-FARMER_HOURS)</f>
        <v>0</v>
      </c>
      <c r="E59" s="17">
        <f>$C59*FARMER_WAGE+IF(LABOR_MODE=1,$D59,ROUNDUP($D59/TEMP_HOURS_PER_WORKER,0)*TEMP_HOURS_PER_WORKER)*TEMP_WAGE</f>
        <v>10099.820887708611</v>
      </c>
      <c r="F59" s="18">
        <f t="shared" si="8"/>
        <v>34.72</v>
      </c>
      <c r="G59" s="17">
        <f>$A59*FERT_MESCLUN</f>
        <v>5280</v>
      </c>
      <c r="H59" s="17">
        <f>$A59*PRICE_MESCLUN</f>
        <v>16200</v>
      </c>
      <c r="I59" s="17">
        <f t="shared" si="9"/>
        <v>1787.2111035862981</v>
      </c>
      <c r="J59" s="17">
        <f>IF($A59=0,"",$I59+FERT_MESCLUN)</f>
        <v>2667.2111035862981</v>
      </c>
      <c r="K59" s="17">
        <f>IF($A59=0,"",PRICE_MESCLUN-$J59)</f>
        <v>32.788896413701877</v>
      </c>
      <c r="L59" s="17">
        <f>$H59-$E59-$G59-FIXED_COST</f>
        <v>-19179.820887708611</v>
      </c>
      <c r="N59">
        <v>6</v>
      </c>
      <c r="O59" s="13">
        <f>$N59*HRS_PER_BED_MESCLUN*WEEKS*(1+DIM_PCT_MESCLUN)^$N59</f>
        <v>290.89345874736784</v>
      </c>
      <c r="P59" s="13">
        <f>Labor!$H$7+Labor!$H$8</f>
        <v>3317.1448103185694</v>
      </c>
      <c r="Q59" s="13">
        <f t="shared" si="10"/>
        <v>3608.0382690659371</v>
      </c>
      <c r="R59" s="13">
        <f>MAX(0,$Q59-FARMER_HOURS)</f>
        <v>2888.0382690659371</v>
      </c>
      <c r="S59" s="17">
        <f>MIN($Q59,FARMER_HOURS)*FARMER_WAGE+IF(LABOR_MODE=1,$R59,ROUNDUP($R59/TEMP_HOURS_PER_WORKER,0)*TEMP_HOURS_PER_WORKER)*TEMP_WAGE</f>
        <v>75134.744350984663</v>
      </c>
      <c r="T59" s="17">
        <f t="shared" si="11"/>
        <v>893.6055517931527</v>
      </c>
      <c r="U59" s="17">
        <f>IF($N59=0,"",$T59+FERT_MESCLUN)</f>
        <v>1773.6055517931527</v>
      </c>
      <c r="V59" s="17">
        <f>IF($N59=0,"",PRICE_MESCLUN-$U59)</f>
        <v>926.3944482068473</v>
      </c>
    </row>
    <row r="60" spans="1:22" x14ac:dyDescent="0.2">
      <c r="A60">
        <v>7</v>
      </c>
      <c r="B60" s="13" cm="1">
        <f t="array" ref="B60">INDEX(Labor!$D$5:$D$36,$A60+1)</f>
        <v>343.61789814532818</v>
      </c>
      <c r="C60" s="13">
        <f>MIN($B60,FARMER_HOURS)</f>
        <v>343.61789814532818</v>
      </c>
      <c r="D60" s="13">
        <f>MAX(0,$B60-FARMER_HOURS)</f>
        <v>0</v>
      </c>
      <c r="E60" s="17">
        <f>$C60*FARMER_WAGE+IF(LABOR_MODE=1,$D60,ROUNDUP($D60/TEMP_HOURS_PER_WORKER,0)*TEMP_HOURS_PER_WORKER)*TEMP_WAGE</f>
        <v>11930.413423605794</v>
      </c>
      <c r="F60" s="18">
        <f t="shared" si="8"/>
        <v>34.72</v>
      </c>
      <c r="G60" s="17">
        <f>$A60*FERT_MESCLUN</f>
        <v>6160</v>
      </c>
      <c r="H60" s="17">
        <f>$A60*PRICE_MESCLUN</f>
        <v>18900</v>
      </c>
      <c r="I60" s="17">
        <f t="shared" si="9"/>
        <v>1830.5925358971836</v>
      </c>
      <c r="J60" s="17">
        <f>IF($A60=0,"",$I60+FERT_MESCLUN)</f>
        <v>2710.5925358971836</v>
      </c>
      <c r="K60" s="17">
        <f>IF($A60=0,"",PRICE_MESCLUN-$J60)</f>
        <v>-10.592535897183552</v>
      </c>
      <c r="L60" s="17">
        <f>$H60-$E60-$G60-FIXED_COST</f>
        <v>-19190.413423605794</v>
      </c>
      <c r="N60">
        <v>7</v>
      </c>
      <c r="O60" s="13">
        <f>$N60*HRS_PER_BED_MESCLUN*WEEKS*(1+DIM_PCT_MESCLUN)^$N60</f>
        <v>343.61789814532818</v>
      </c>
      <c r="P60" s="13">
        <f>Labor!$H$7+Labor!$H$8</f>
        <v>3317.1448103185694</v>
      </c>
      <c r="Q60" s="13">
        <f t="shared" si="10"/>
        <v>3660.7627084638975</v>
      </c>
      <c r="R60" s="13">
        <f>MAX(0,$Q60-FARMER_HOURS)</f>
        <v>2940.7627084638975</v>
      </c>
      <c r="S60" s="17">
        <f>MIN($Q60,FARMER_HOURS)*FARMER_WAGE+IF(LABOR_MODE=1,$R60,ROUNDUP($R60/TEMP_HOURS_PER_WORKER,0)*TEMP_HOURS_PER_WORKER)*TEMP_WAGE</f>
        <v>76050.040618933257</v>
      </c>
      <c r="T60" s="17">
        <f t="shared" si="11"/>
        <v>915.2962679485936</v>
      </c>
      <c r="U60" s="17">
        <f>IF($N60=0,"",$T60+FERT_MESCLUN)</f>
        <v>1795.2962679485936</v>
      </c>
      <c r="V60" s="17">
        <f>IF($N60=0,"",PRICE_MESCLUN-$U60)</f>
        <v>904.7037320514064</v>
      </c>
    </row>
    <row r="61" spans="1:22" x14ac:dyDescent="0.2">
      <c r="A61">
        <v>8</v>
      </c>
      <c r="B61" s="13" cm="1">
        <f t="array" ref="B61">INDEX(Labor!$D$5:$D$36,$A61+1)</f>
        <v>397.61499642530839</v>
      </c>
      <c r="C61" s="13">
        <f>MIN($B61,FARMER_HOURS)</f>
        <v>397.61499642530839</v>
      </c>
      <c r="D61" s="13">
        <f>MAX(0,$B61-FARMER_HOURS)</f>
        <v>0</v>
      </c>
      <c r="E61" s="17">
        <f>$C61*FARMER_WAGE+IF(LABOR_MODE=1,$D61,ROUNDUP($D61/TEMP_HOURS_PER_WORKER,0)*TEMP_HOURS_PER_WORKER)*TEMP_WAGE</f>
        <v>13805.192675886707</v>
      </c>
      <c r="F61" s="18">
        <f t="shared" si="8"/>
        <v>34.72</v>
      </c>
      <c r="G61" s="17">
        <f>$A61*FERT_MESCLUN</f>
        <v>7040</v>
      </c>
      <c r="H61" s="17">
        <f>$A61*PRICE_MESCLUN</f>
        <v>21600</v>
      </c>
      <c r="I61" s="17">
        <f t="shared" si="9"/>
        <v>1874.7792522809123</v>
      </c>
      <c r="J61" s="17">
        <f>IF($A61=0,"",$I61+FERT_MESCLUN)</f>
        <v>2754.7792522809123</v>
      </c>
      <c r="K61" s="17">
        <f>IF($A61=0,"",PRICE_MESCLUN-$J61)</f>
        <v>-54.77925228091226</v>
      </c>
      <c r="L61" s="17">
        <f>$H61-$E61-$G61-FIXED_COST</f>
        <v>-19245.192675886705</v>
      </c>
      <c r="N61">
        <v>8</v>
      </c>
      <c r="O61" s="13">
        <f>$N61*HRS_PER_BED_MESCLUN*WEEKS*(1+DIM_PCT_MESCLUN)^$N61</f>
        <v>397.61499642530839</v>
      </c>
      <c r="P61" s="13">
        <f>Labor!$H$7+Labor!$H$8</f>
        <v>3317.1448103185694</v>
      </c>
      <c r="Q61" s="13">
        <f t="shared" si="10"/>
        <v>3714.7598067438776</v>
      </c>
      <c r="R61" s="13">
        <f>MAX(0,$Q61-FARMER_HOURS)</f>
        <v>2994.7598067438776</v>
      </c>
      <c r="S61" s="17">
        <f>MIN($Q61,FARMER_HOURS)*FARMER_WAGE+IF(LABOR_MODE=1,$R61,ROUNDUP($R61/TEMP_HOURS_PER_WORKER,0)*TEMP_HOURS_PER_WORKER)*TEMP_WAGE</f>
        <v>76987.430245073716</v>
      </c>
      <c r="T61" s="17">
        <f t="shared" si="11"/>
        <v>937.38962614045886</v>
      </c>
      <c r="U61" s="17">
        <f>IF($N61=0,"",$T61+FERT_MESCLUN)</f>
        <v>1817.3896261404589</v>
      </c>
      <c r="V61" s="17">
        <f>IF($N61=0,"",PRICE_MESCLUN-$U61)</f>
        <v>882.61037385954114</v>
      </c>
    </row>
    <row r="62" spans="1:22" x14ac:dyDescent="0.2">
      <c r="A62">
        <v>9</v>
      </c>
      <c r="B62" s="13" cm="1">
        <f t="array" ref="B62">INDEX(Labor!$D$5:$D$36,$A62+1)</f>
        <v>452.90833186570285</v>
      </c>
      <c r="C62" s="13">
        <f>MIN($B62,FARMER_HOURS)</f>
        <v>452.90833186570285</v>
      </c>
      <c r="D62" s="13">
        <f>MAX(0,$B62-FARMER_HOURS)</f>
        <v>0</v>
      </c>
      <c r="E62" s="17">
        <f>$C62*FARMER_WAGE+IF(LABOR_MODE=1,$D62,ROUNDUP($D62/TEMP_HOURS_PER_WORKER,0)*TEMP_HOURS_PER_WORKER)*TEMP_WAGE</f>
        <v>15724.977282377202</v>
      </c>
      <c r="F62" s="18">
        <f t="shared" si="8"/>
        <v>34.72</v>
      </c>
      <c r="G62" s="17">
        <f>$A62*FERT_MESCLUN</f>
        <v>7920</v>
      </c>
      <c r="H62" s="17">
        <f>$A62*PRICE_MESCLUN</f>
        <v>24300</v>
      </c>
      <c r="I62" s="17">
        <f t="shared" si="9"/>
        <v>1919.7846064904952</v>
      </c>
      <c r="J62" s="17">
        <f>IF($A62=0,"",$I62+FERT_MESCLUN)</f>
        <v>2799.7846064904952</v>
      </c>
      <c r="K62" s="17">
        <f>IF($A62=0,"",PRICE_MESCLUN-$J62)</f>
        <v>-99.784606490495207</v>
      </c>
      <c r="L62" s="17">
        <f>$H62-$E62-$G62-FIXED_COST</f>
        <v>-19344.9772823772</v>
      </c>
      <c r="N62">
        <v>9</v>
      </c>
      <c r="O62" s="13">
        <f>$N62*HRS_PER_BED_MESCLUN*WEEKS*(1+DIM_PCT_MESCLUN)^$N62</f>
        <v>452.90833186570285</v>
      </c>
      <c r="P62" s="13">
        <f>Labor!$H$7+Labor!$H$8</f>
        <v>3317.1448103185694</v>
      </c>
      <c r="Q62" s="13">
        <f t="shared" si="10"/>
        <v>3770.0531421842725</v>
      </c>
      <c r="R62" s="13">
        <f>MAX(0,$Q62-FARMER_HOURS)</f>
        <v>3050.0531421842725</v>
      </c>
      <c r="S62" s="17">
        <f>MIN($Q62,FARMER_HOURS)*FARMER_WAGE+IF(LABOR_MODE=1,$R62,ROUNDUP($R62/TEMP_HOURS_PER_WORKER,0)*TEMP_HOURS_PER_WORKER)*TEMP_WAGE</f>
        <v>77947.32254831896</v>
      </c>
      <c r="T62" s="17">
        <f t="shared" si="11"/>
        <v>959.89230324524397</v>
      </c>
      <c r="U62" s="17">
        <f>IF($N62=0,"",$T62+FERT_MESCLUN)</f>
        <v>1839.892303245244</v>
      </c>
      <c r="V62" s="17">
        <f>IF($N62=0,"",PRICE_MESCLUN-$U62)</f>
        <v>860.10769675475603</v>
      </c>
    </row>
    <row r="63" spans="1:22" x14ac:dyDescent="0.2">
      <c r="A63">
        <v>10</v>
      </c>
      <c r="B63" s="13" cm="1">
        <f t="array" ref="B63">INDEX(Labor!$D$5:$D$36,$A63+1)</f>
        <v>509.52187334891573</v>
      </c>
      <c r="C63" s="13">
        <f>MIN($B63,FARMER_HOURS)</f>
        <v>509.52187334891573</v>
      </c>
      <c r="D63" s="13">
        <f>MAX(0,$B63-FARMER_HOURS)</f>
        <v>0</v>
      </c>
      <c r="E63" s="17">
        <f>$C63*FARMER_WAGE+IF(LABOR_MODE=1,$D63,ROUNDUP($D63/TEMP_HOURS_PER_WORKER,0)*TEMP_HOURS_PER_WORKER)*TEMP_WAGE</f>
        <v>17690.599442674353</v>
      </c>
      <c r="F63" s="18">
        <f t="shared" si="8"/>
        <v>34.72</v>
      </c>
      <c r="G63" s="17">
        <f>$A63*FERT_MESCLUN</f>
        <v>8800</v>
      </c>
      <c r="H63" s="17">
        <f>$A63*PRICE_MESCLUN</f>
        <v>27000</v>
      </c>
      <c r="I63" s="17">
        <f t="shared" si="9"/>
        <v>1965.6221602971509</v>
      </c>
      <c r="J63" s="17">
        <f>IF($A63=0,"",$I63+FERT_MESCLUN)</f>
        <v>2845.6221602971509</v>
      </c>
      <c r="K63" s="17">
        <f>IF($A63=0,"",PRICE_MESCLUN-$J63)</f>
        <v>-145.62216029715091</v>
      </c>
      <c r="L63" s="17">
        <f>$H63-$E63-$G63-FIXED_COST</f>
        <v>-19490.599442674353</v>
      </c>
      <c r="N63">
        <v>10</v>
      </c>
      <c r="O63" s="13">
        <f>$N63*HRS_PER_BED_MESCLUN*WEEKS*(1+DIM_PCT_MESCLUN)^$N63</f>
        <v>509.52187334891573</v>
      </c>
      <c r="P63" s="13">
        <f>Labor!$H$7+Labor!$H$8</f>
        <v>3317.1448103185694</v>
      </c>
      <c r="Q63" s="13">
        <f t="shared" si="10"/>
        <v>3826.6666836674849</v>
      </c>
      <c r="R63" s="13">
        <f>MAX(0,$Q63-FARMER_HOURS)</f>
        <v>3106.6666836674849</v>
      </c>
      <c r="S63" s="17">
        <f>MIN($Q63,FARMER_HOURS)*FARMER_WAGE+IF(LABOR_MODE=1,$R63,ROUNDUP($R63/TEMP_HOURS_PER_WORKER,0)*TEMP_HOURS_PER_WORKER)*TEMP_WAGE</f>
        <v>78930.133628467534</v>
      </c>
      <c r="T63" s="17">
        <f t="shared" si="11"/>
        <v>982.81108014857455</v>
      </c>
      <c r="U63" s="17">
        <f>IF($N63=0,"",$T63+FERT_MESCLUN)</f>
        <v>1862.8110801485745</v>
      </c>
      <c r="V63" s="17">
        <f>IF($N63=0,"",PRICE_MESCLUN-$U63)</f>
        <v>837.18891985142545</v>
      </c>
    </row>
    <row r="64" spans="1:22" x14ac:dyDescent="0.2">
      <c r="A64">
        <v>11</v>
      </c>
      <c r="B64" s="13" cm="1">
        <f t="array" ref="B64">INDEX(Labor!$D$5:$D$36,$A64+1)</f>
        <v>567.47998644235474</v>
      </c>
      <c r="C64" s="13">
        <f>MIN($B64,FARMER_HOURS)</f>
        <v>567.47998644235474</v>
      </c>
      <c r="D64" s="13">
        <f>MAX(0,$B64-FARMER_HOURS)</f>
        <v>0</v>
      </c>
      <c r="E64" s="17">
        <f>$C64*FARMER_WAGE+IF(LABOR_MODE=1,$D64,ROUNDUP($D64/TEMP_HOURS_PER_WORKER,0)*TEMP_HOURS_PER_WORKER)*TEMP_WAGE</f>
        <v>19702.905129278555</v>
      </c>
      <c r="F64" s="18">
        <f t="shared" si="8"/>
        <v>34.72</v>
      </c>
      <c r="G64" s="17">
        <f>$A64*FERT_MESCLUN</f>
        <v>9680</v>
      </c>
      <c r="H64" s="17">
        <f>$A64*PRICE_MESCLUN</f>
        <v>29700</v>
      </c>
      <c r="I64" s="17">
        <f t="shared" si="9"/>
        <v>2012.3056866042025</v>
      </c>
      <c r="J64" s="17">
        <f>IF($A64=0,"",$I64+FERT_MESCLUN)</f>
        <v>2892.3056866042025</v>
      </c>
      <c r="K64" s="17">
        <f>IF($A64=0,"",PRICE_MESCLUN-$J64)</f>
        <v>-192.30568660420249</v>
      </c>
      <c r="L64" s="17">
        <f>$H64-$E64-$G64-FIXED_COST</f>
        <v>-19682.905129278555</v>
      </c>
      <c r="N64">
        <v>11</v>
      </c>
      <c r="O64" s="13">
        <f>$N64*HRS_PER_BED_MESCLUN*WEEKS*(1+DIM_PCT_MESCLUN)^$N64</f>
        <v>567.47998644235474</v>
      </c>
      <c r="P64" s="13">
        <f>Labor!$H$7+Labor!$H$8</f>
        <v>3317.1448103185694</v>
      </c>
      <c r="Q64" s="13">
        <f t="shared" si="10"/>
        <v>3884.6247967609243</v>
      </c>
      <c r="R64" s="13">
        <f>MAX(0,$Q64-FARMER_HOURS)</f>
        <v>3164.6247967609243</v>
      </c>
      <c r="S64" s="17">
        <f>MIN($Q64,FARMER_HOURS)*FARMER_WAGE+IF(LABOR_MODE=1,$R64,ROUNDUP($R64/TEMP_HOURS_PER_WORKER,0)*TEMP_HOURS_PER_WORKER)*TEMP_WAGE</f>
        <v>79936.286471769636</v>
      </c>
      <c r="T64" s="17">
        <f t="shared" si="11"/>
        <v>1006.1528433021012</v>
      </c>
      <c r="U64" s="17">
        <f>IF($N64=0,"",$T64+FERT_MESCLUN)</f>
        <v>1886.1528433021012</v>
      </c>
      <c r="V64" s="17">
        <f>IF($N64=0,"",PRICE_MESCLUN-$U64)</f>
        <v>813.84715669789875</v>
      </c>
    </row>
    <row r="65" spans="1:22" x14ac:dyDescent="0.2">
      <c r="A65">
        <v>12</v>
      </c>
      <c r="B65" s="13" cm="1">
        <f t="array" ref="B65">INDEX(Labor!$D$5:$D$36,$A65+1)</f>
        <v>626.80743957041921</v>
      </c>
      <c r="C65" s="13">
        <f>MIN($B65,FARMER_HOURS)</f>
        <v>626.80743957041921</v>
      </c>
      <c r="D65" s="13">
        <f>MAX(0,$B65-FARMER_HOURS)</f>
        <v>0</v>
      </c>
      <c r="E65" s="17">
        <f>$C65*FARMER_WAGE+IF(LABOR_MODE=1,$D65,ROUNDUP($D65/TEMP_HOURS_PER_WORKER,0)*TEMP_HOURS_PER_WORKER)*TEMP_WAGE</f>
        <v>21762.754301884954</v>
      </c>
      <c r="F65" s="18">
        <f t="shared" si="8"/>
        <v>34.72</v>
      </c>
      <c r="G65" s="17">
        <f>$A65*FERT_MESCLUN</f>
        <v>10560</v>
      </c>
      <c r="H65" s="17">
        <f>$A65*PRICE_MESCLUN</f>
        <v>32400</v>
      </c>
      <c r="I65" s="17">
        <f t="shared" si="9"/>
        <v>2059.8491726063985</v>
      </c>
      <c r="J65" s="17">
        <f>IF($A65=0,"",$I65+FERT_MESCLUN)</f>
        <v>2939.8491726063985</v>
      </c>
      <c r="K65" s="17">
        <f>IF($A65=0,"",PRICE_MESCLUN-$J65)</f>
        <v>-239.8491726063985</v>
      </c>
      <c r="L65" s="17">
        <f>$H65-$E65-$G65-FIXED_COST</f>
        <v>-19922.754301884954</v>
      </c>
      <c r="N65">
        <v>12</v>
      </c>
      <c r="O65" s="13">
        <f>$N65*HRS_PER_BED_MESCLUN*WEEKS*(1+DIM_PCT_MESCLUN)^$N65</f>
        <v>626.80743957041921</v>
      </c>
      <c r="P65" s="13">
        <f>Labor!$H$7+Labor!$H$8</f>
        <v>3317.1448103185694</v>
      </c>
      <c r="Q65" s="13">
        <f t="shared" si="10"/>
        <v>3943.9522498889887</v>
      </c>
      <c r="R65" s="13">
        <f>MAX(0,$Q65-FARMER_HOURS)</f>
        <v>3223.9522498889887</v>
      </c>
      <c r="S65" s="17">
        <f>MIN($Q65,FARMER_HOURS)*FARMER_WAGE+IF(LABOR_MODE=1,$R65,ROUNDUP($R65/TEMP_HOURS_PER_WORKER,0)*TEMP_HOURS_PER_WORKER)*TEMP_WAGE</f>
        <v>80966.211058072833</v>
      </c>
      <c r="T65" s="17">
        <f t="shared" si="11"/>
        <v>1029.9245863031974</v>
      </c>
      <c r="U65" s="17">
        <f>IF($N65=0,"",$T65+FERT_MESCLUN)</f>
        <v>1909.9245863031974</v>
      </c>
      <c r="V65" s="17">
        <f>IF($N65=0,"",PRICE_MESCLUN-$U65)</f>
        <v>790.07541369680257</v>
      </c>
    </row>
    <row r="66" spans="1:22" x14ac:dyDescent="0.2">
      <c r="A66">
        <v>13</v>
      </c>
      <c r="B66" s="13" cm="1">
        <f t="array" ref="B66">INDEX(Labor!$D$5:$D$36,$A66+1)</f>
        <v>687.52941027880343</v>
      </c>
      <c r="C66" s="13">
        <f>MIN($B66,FARMER_HOURS)</f>
        <v>687.52941027880343</v>
      </c>
      <c r="D66" s="13">
        <f>MAX(0,$B66-FARMER_HOURS)</f>
        <v>0</v>
      </c>
      <c r="E66" s="17">
        <f>$C66*FARMER_WAGE+IF(LABOR_MODE=1,$D66,ROUNDUP($D66/TEMP_HOURS_PER_WORKER,0)*TEMP_HOURS_PER_WORKER)*TEMP_WAGE</f>
        <v>23871.021124880055</v>
      </c>
      <c r="F66" s="18">
        <f t="shared" si="8"/>
        <v>34.72</v>
      </c>
      <c r="G66" s="17">
        <f>$A66*FERT_MESCLUN</f>
        <v>11440</v>
      </c>
      <c r="H66" s="17">
        <f>$A66*PRICE_MESCLUN</f>
        <v>35100</v>
      </c>
      <c r="I66" s="17">
        <f t="shared" si="9"/>
        <v>2108.2668229951014</v>
      </c>
      <c r="J66" s="17">
        <f>IF($A66=0,"",$I66+FERT_MESCLUN)</f>
        <v>2988.2668229951014</v>
      </c>
      <c r="K66" s="17">
        <f>IF($A66=0,"",PRICE_MESCLUN-$J66)</f>
        <v>-288.26682299510139</v>
      </c>
      <c r="L66" s="17">
        <f>$H66-$E66-$G66-FIXED_COST</f>
        <v>-20211.021124880055</v>
      </c>
      <c r="N66">
        <v>13</v>
      </c>
      <c r="O66" s="13">
        <f>$N66*HRS_PER_BED_MESCLUN*WEEKS*(1+DIM_PCT_MESCLUN)^$N66</f>
        <v>687.52941027880343</v>
      </c>
      <c r="P66" s="13">
        <f>Labor!$H$7+Labor!$H$8</f>
        <v>3317.1448103185694</v>
      </c>
      <c r="Q66" s="13">
        <f t="shared" si="10"/>
        <v>4004.6742205973728</v>
      </c>
      <c r="R66" s="13">
        <f>MAX(0,$Q66-FARMER_HOURS)</f>
        <v>3284.6742205973728</v>
      </c>
      <c r="S66" s="17">
        <f>MIN($Q66,FARMER_HOURS)*FARMER_WAGE+IF(LABOR_MODE=1,$R66,ROUNDUP($R66/TEMP_HOURS_PER_WORKER,0)*TEMP_HOURS_PER_WORKER)*TEMP_WAGE</f>
        <v>82020.344469570395</v>
      </c>
      <c r="T66" s="17">
        <f t="shared" si="11"/>
        <v>1054.1334114975616</v>
      </c>
      <c r="U66" s="17">
        <f>IF($N66=0,"",$T66+FERT_MESCLUN)</f>
        <v>1934.1334114975616</v>
      </c>
      <c r="V66" s="17">
        <f>IF($N66=0,"",PRICE_MESCLUN-$U66)</f>
        <v>765.86658850243839</v>
      </c>
    </row>
    <row r="67" spans="1:22" x14ac:dyDescent="0.2">
      <c r="A67">
        <v>14</v>
      </c>
      <c r="B67" s="13" cm="1">
        <f t="array" ref="B67">INDEX(Labor!$D$5:$D$36,$A67+1)</f>
        <v>749.67149159246469</v>
      </c>
      <c r="C67" s="13">
        <f>MIN($B67,FARMER_HOURS)</f>
        <v>720</v>
      </c>
      <c r="D67" s="13">
        <f>MAX(0,$B67-FARMER_HOURS)</f>
        <v>29.67149159246469</v>
      </c>
      <c r="E67" s="17">
        <f>$C67*FARMER_WAGE+IF(LABOR_MODE=1,$D67,ROUNDUP($D67/TEMP_HOURS_PER_WORKER,0)*TEMP_HOURS_PER_WORKER)*TEMP_WAGE</f>
        <v>25513.497094045186</v>
      </c>
      <c r="F67" s="18">
        <f t="shared" si="8"/>
        <v>34.032902918382277</v>
      </c>
      <c r="G67" s="17">
        <f>$A67*FERT_MESCLUN</f>
        <v>12320</v>
      </c>
      <c r="H67" s="17">
        <f>$A67*PRICE_MESCLUN</f>
        <v>37800</v>
      </c>
      <c r="I67" s="17">
        <f t="shared" si="9"/>
        <v>1642.4759691651307</v>
      </c>
      <c r="J67" s="17">
        <f>IF($A67=0,"",$I67+FERT_MESCLUN)</f>
        <v>2522.4759691651307</v>
      </c>
      <c r="K67" s="17">
        <f>IF($A67=0,"",PRICE_MESCLUN-$J67)</f>
        <v>177.52403083486934</v>
      </c>
      <c r="L67" s="17">
        <f>$H67-$E67-$G67-FIXED_COST</f>
        <v>-20033.497094045186</v>
      </c>
      <c r="N67">
        <v>14</v>
      </c>
      <c r="O67" s="13">
        <f>$N67*HRS_PER_BED_MESCLUN*WEEKS*(1+DIM_PCT_MESCLUN)^$N67</f>
        <v>749.67149159246469</v>
      </c>
      <c r="P67" s="13">
        <f>Labor!$H$7+Labor!$H$8</f>
        <v>3317.1448103185694</v>
      </c>
      <c r="Q67" s="13">
        <f t="shared" si="10"/>
        <v>4066.8163019110343</v>
      </c>
      <c r="R67" s="13">
        <f>MAX(0,$Q67-FARMER_HOURS)</f>
        <v>3346.8163019110343</v>
      </c>
      <c r="S67" s="17">
        <f>MIN($Q67,FARMER_HOURS)*FARMER_WAGE+IF(LABOR_MODE=1,$R67,ROUNDUP($R67/TEMP_HOURS_PER_WORKER,0)*TEMP_HOURS_PER_WORKER)*TEMP_WAGE</f>
        <v>83099.131001175556</v>
      </c>
      <c r="T67" s="17">
        <f t="shared" si="11"/>
        <v>1078.7865316051611</v>
      </c>
      <c r="U67" s="17">
        <f>IF($N67=0,"",$T67+FERT_MESCLUN)</f>
        <v>1958.7865316051611</v>
      </c>
      <c r="V67" s="17">
        <f>IF($N67=0,"",PRICE_MESCLUN-$U67)</f>
        <v>741.21346839483886</v>
      </c>
    </row>
    <row r="68" spans="1:22" x14ac:dyDescent="0.2">
      <c r="A68">
        <v>15</v>
      </c>
      <c r="B68" s="13" cm="1">
        <f t="array" ref="B68">INDEX(Labor!$D$5:$D$36,$A68+1)</f>
        <v>813.25969846861108</v>
      </c>
      <c r="C68" s="13">
        <f>MIN($B68,FARMER_HOURS)</f>
        <v>720</v>
      </c>
      <c r="D68" s="13">
        <f>MAX(0,$B68-FARMER_HOURS)</f>
        <v>93.259698468611077</v>
      </c>
      <c r="E68" s="17">
        <f>$C68*FARMER_WAGE+IF(LABOR_MODE=1,$D68,ROUNDUP($D68/TEMP_HOURS_PER_WORKER,0)*TEMP_HOURS_PER_WORKER)*TEMP_WAGE</f>
        <v>26617.388365415085</v>
      </c>
      <c r="F68" s="18">
        <f t="shared" si="8"/>
        <v>32.729260303364732</v>
      </c>
      <c r="G68" s="17">
        <f>$A68*FERT_MESCLUN</f>
        <v>13200</v>
      </c>
      <c r="H68" s="17">
        <f>$A68*PRICE_MESCLUN</f>
        <v>40500</v>
      </c>
      <c r="I68" s="17">
        <f t="shared" si="9"/>
        <v>1103.8912713698992</v>
      </c>
      <c r="J68" s="17">
        <f>IF($A68=0,"",$I68+FERT_MESCLUN)</f>
        <v>1983.8912713698992</v>
      </c>
      <c r="K68" s="17">
        <f>IF($A68=0,"",PRICE_MESCLUN-$J68)</f>
        <v>716.10872863010081</v>
      </c>
      <c r="L68" s="17">
        <f>$H68-$E68-$G68-FIXED_COST</f>
        <v>-19317.388365415085</v>
      </c>
      <c r="N68">
        <v>15</v>
      </c>
      <c r="O68" s="13">
        <f>$N68*HRS_PER_BED_MESCLUN*WEEKS*(1+DIM_PCT_MESCLUN)^$N68</f>
        <v>813.25969846861108</v>
      </c>
      <c r="P68" s="13">
        <f>Labor!$H$7+Labor!$H$8</f>
        <v>3317.1448103185694</v>
      </c>
      <c r="Q68" s="13">
        <f t="shared" si="10"/>
        <v>4130.40450878718</v>
      </c>
      <c r="R68" s="13">
        <f>MAX(0,$Q68-FARMER_HOURS)</f>
        <v>3410.40450878718</v>
      </c>
      <c r="S68" s="17">
        <f>MIN($Q68,FARMER_HOURS)*FARMER_WAGE+IF(LABOR_MODE=1,$R68,ROUNDUP($R68/TEMP_HOURS_PER_WORKER,0)*TEMP_HOURS_PER_WORKER)*TEMP_WAGE</f>
        <v>84203.022272545437</v>
      </c>
      <c r="T68" s="17">
        <f t="shared" si="11"/>
        <v>1103.891271369881</v>
      </c>
      <c r="U68" s="17">
        <f>IF($N68=0,"",$T68+FERT_MESCLUN)</f>
        <v>1983.891271369881</v>
      </c>
      <c r="V68" s="17">
        <f>IF($N68=0,"",PRICE_MESCLUN-$U68)</f>
        <v>716.108728630119</v>
      </c>
    </row>
    <row r="69" spans="1:22" x14ac:dyDescent="0.2">
      <c r="A69">
        <v>16</v>
      </c>
      <c r="B69" s="13" cm="1">
        <f t="array" ref="B69">INDEX(Labor!$D$5:$D$36,$A69+1)</f>
        <v>878.32047434610013</v>
      </c>
      <c r="C69" s="13">
        <f>MIN($B69,FARMER_HOURS)</f>
        <v>720</v>
      </c>
      <c r="D69" s="13">
        <f>MAX(0,$B69-FARMER_HOURS)</f>
        <v>158.32047434610013</v>
      </c>
      <c r="E69" s="17">
        <f>$C69*FARMER_WAGE+IF(LABOR_MODE=1,$D69,ROUNDUP($D69/TEMP_HOURS_PER_WORKER,0)*TEMP_HOURS_PER_WORKER)*TEMP_WAGE</f>
        <v>27746.843434648297</v>
      </c>
      <c r="F69" s="18">
        <f t="shared" si="8"/>
        <v>31.590796577189568</v>
      </c>
      <c r="G69" s="17">
        <f>$A69*FERT_MESCLUN</f>
        <v>14080</v>
      </c>
      <c r="H69" s="17">
        <f>$A69*PRICE_MESCLUN</f>
        <v>43200</v>
      </c>
      <c r="I69" s="17">
        <f t="shared" si="9"/>
        <v>1129.4550692332123</v>
      </c>
      <c r="J69" s="17">
        <f>IF($A69=0,"",$I69+FERT_MESCLUN)</f>
        <v>2009.4550692332123</v>
      </c>
      <c r="K69" s="17">
        <f>IF($A69=0,"",PRICE_MESCLUN-$J69)</f>
        <v>690.54493076678773</v>
      </c>
      <c r="L69" s="17">
        <f>$H69-$E69-$G69-FIXED_COST</f>
        <v>-18626.843434648297</v>
      </c>
      <c r="N69">
        <v>16</v>
      </c>
      <c r="O69" s="13">
        <f>$N69*HRS_PER_BED_MESCLUN*WEEKS*(1+DIM_PCT_MESCLUN)^$N69</f>
        <v>878.32047434610013</v>
      </c>
      <c r="P69" s="13">
        <f>Labor!$H$7+Labor!$H$8</f>
        <v>3317.1448103185694</v>
      </c>
      <c r="Q69" s="13">
        <f t="shared" si="10"/>
        <v>4195.4652846646695</v>
      </c>
      <c r="R69" s="13">
        <f>MAX(0,$Q69-FARMER_HOURS)</f>
        <v>3475.4652846646695</v>
      </c>
      <c r="S69" s="17">
        <f>MIN($Q69,FARMER_HOURS)*FARMER_WAGE+IF(LABOR_MODE=1,$R69,ROUNDUP($R69/TEMP_HOURS_PER_WORKER,0)*TEMP_HOURS_PER_WORKER)*TEMP_WAGE</f>
        <v>85332.477341778664</v>
      </c>
      <c r="T69" s="17">
        <f t="shared" si="11"/>
        <v>1129.4550692332268</v>
      </c>
      <c r="U69" s="17">
        <f>IF($N69=0,"",$T69+FERT_MESCLUN)</f>
        <v>2009.4550692332268</v>
      </c>
      <c r="V69" s="17">
        <f>IF($N69=0,"",PRICE_MESCLUN-$U69)</f>
        <v>690.54493076677318</v>
      </c>
    </row>
    <row r="70" spans="1:22" x14ac:dyDescent="0.2">
      <c r="A70">
        <v>17</v>
      </c>
      <c r="B70" s="13" cm="1">
        <f t="array" ref="B70">INDEX(Labor!$D$5:$D$36,$A70+1)</f>
        <v>944.88069779264049</v>
      </c>
      <c r="C70" s="13">
        <f>MIN($B70,FARMER_HOURS)</f>
        <v>720</v>
      </c>
      <c r="D70" s="13">
        <f>MAX(0,$B70-FARMER_HOURS)</f>
        <v>224.88069779264049</v>
      </c>
      <c r="E70" s="17">
        <f>$C70*FARMER_WAGE+IF(LABOR_MODE=1,$D70,ROUNDUP($D70/TEMP_HOURS_PER_WORKER,0)*TEMP_HOURS_PER_WORKER)*TEMP_WAGE</f>
        <v>28902.328913680238</v>
      </c>
      <c r="F70" s="18">
        <f t="shared" si="8"/>
        <v>30.58833668758362</v>
      </c>
      <c r="G70" s="17">
        <f>$A70*FERT_MESCLUN</f>
        <v>14960</v>
      </c>
      <c r="H70" s="17">
        <f>$A70*PRICE_MESCLUN</f>
        <v>45900</v>
      </c>
      <c r="I70" s="17">
        <f t="shared" si="9"/>
        <v>1155.4854790319405</v>
      </c>
      <c r="J70" s="17">
        <f>IF($A70=0,"",$I70+FERT_MESCLUN)</f>
        <v>2035.4854790319405</v>
      </c>
      <c r="K70" s="17">
        <f>IF($A70=0,"",PRICE_MESCLUN-$J70)</f>
        <v>664.51452096805951</v>
      </c>
      <c r="L70" s="17">
        <f>$H70-$E70-$G70-FIXED_COST</f>
        <v>-17962.328913680238</v>
      </c>
      <c r="N70">
        <v>17</v>
      </c>
      <c r="O70" s="13">
        <f>$N70*HRS_PER_BED_MESCLUN*WEEKS*(1+DIM_PCT_MESCLUN)^$N70</f>
        <v>944.88069779264049</v>
      </c>
      <c r="P70" s="13">
        <f>Labor!$H$7+Labor!$H$8</f>
        <v>3317.1448103185694</v>
      </c>
      <c r="Q70" s="13">
        <f t="shared" si="10"/>
        <v>4262.02550811121</v>
      </c>
      <c r="R70" s="13">
        <f>MAX(0,$Q70-FARMER_HOURS)</f>
        <v>3542.02550811121</v>
      </c>
      <c r="S70" s="17">
        <f>MIN($Q70,FARMER_HOURS)*FARMER_WAGE+IF(LABOR_MODE=1,$R70,ROUNDUP($R70/TEMP_HOURS_PER_WORKER,0)*TEMP_HOURS_PER_WORKER)*TEMP_WAGE</f>
        <v>86487.962820810601</v>
      </c>
      <c r="T70" s="17">
        <f t="shared" si="11"/>
        <v>1155.4854790319368</v>
      </c>
      <c r="U70" s="17">
        <f>IF($N70=0,"",$T70+FERT_MESCLUN)</f>
        <v>2035.4854790319368</v>
      </c>
      <c r="V70" s="17">
        <f>IF($N70=0,"",PRICE_MESCLUN-$U70)</f>
        <v>664.51452096806315</v>
      </c>
    </row>
    <row r="71" spans="1:22" x14ac:dyDescent="0.2">
      <c r="A71">
        <v>18</v>
      </c>
      <c r="B71" s="13" cm="1">
        <f t="array" ref="B71">INDEX(Labor!$D$5:$D$36,$A71+1)</f>
        <v>1012.9676892512279</v>
      </c>
      <c r="C71" s="13">
        <f>MIN($B71,FARMER_HOURS)</f>
        <v>720</v>
      </c>
      <c r="D71" s="13">
        <f>MAX(0,$B71-FARMER_HOURS)</f>
        <v>292.96768925122785</v>
      </c>
      <c r="E71" s="17">
        <f>$C71*FARMER_WAGE+IF(LABOR_MODE=1,$D71,ROUNDUP($D71/TEMP_HOURS_PER_WORKER,0)*TEMP_HOURS_PER_WORKER)*TEMP_WAGE</f>
        <v>30084.319085401312</v>
      </c>
      <c r="F71" s="18">
        <f t="shared" si="8"/>
        <v>29.69918922847306</v>
      </c>
      <c r="G71" s="17">
        <f>$A71*FERT_MESCLUN</f>
        <v>15840</v>
      </c>
      <c r="H71" s="17">
        <f>$A71*PRICE_MESCLUN</f>
        <v>48600</v>
      </c>
      <c r="I71" s="17">
        <f t="shared" si="9"/>
        <v>1181.9901717210741</v>
      </c>
      <c r="J71" s="17">
        <f>IF($A71=0,"",$I71+FERT_MESCLUN)</f>
        <v>2061.9901717210741</v>
      </c>
      <c r="K71" s="17">
        <f>IF($A71=0,"",PRICE_MESCLUN-$J71)</f>
        <v>638.00982827892585</v>
      </c>
      <c r="L71" s="17">
        <f>$H71-$E71-$G71-FIXED_COST</f>
        <v>-17324.319085401312</v>
      </c>
      <c r="N71">
        <v>18</v>
      </c>
      <c r="O71" s="13">
        <f>$N71*HRS_PER_BED_MESCLUN*WEEKS*(1+DIM_PCT_MESCLUN)^$N71</f>
        <v>1012.9676892512279</v>
      </c>
      <c r="P71" s="13">
        <f>Labor!$H$7+Labor!$H$8</f>
        <v>3317.1448103185694</v>
      </c>
      <c r="Q71" s="13">
        <f t="shared" si="10"/>
        <v>4330.1124995697974</v>
      </c>
      <c r="R71" s="13">
        <f>MAX(0,$Q71-FARMER_HOURS)</f>
        <v>3610.1124995697974</v>
      </c>
      <c r="S71" s="17">
        <f>MIN($Q71,FARMER_HOURS)*FARMER_WAGE+IF(LABOR_MODE=1,$R71,ROUNDUP($R71/TEMP_HOURS_PER_WORKER,0)*TEMP_HOURS_PER_WORKER)*TEMP_WAGE</f>
        <v>87669.952992531675</v>
      </c>
      <c r="T71" s="17">
        <f t="shared" si="11"/>
        <v>1181.9901717210741</v>
      </c>
      <c r="U71" s="17">
        <f>IF($N71=0,"",$T71+FERT_MESCLUN)</f>
        <v>2061.9901717210741</v>
      </c>
      <c r="V71" s="17">
        <f>IF($N71=0,"",PRICE_MESCLUN-$U71)</f>
        <v>638.00982827892585</v>
      </c>
    </row>
    <row r="72" spans="1:22" x14ac:dyDescent="0.2">
      <c r="A72">
        <v>19</v>
      </c>
      <c r="B72" s="13" cm="1">
        <f t="array" ref="B72">INDEX(Labor!$D$5:$D$36,$A72+1)</f>
        <v>1082.6092178872495</v>
      </c>
      <c r="C72" s="13">
        <f>MIN($B72,FARMER_HOURS)</f>
        <v>720</v>
      </c>
      <c r="D72" s="13">
        <f>MAX(0,$B72-FARMER_HOURS)</f>
        <v>362.60921788724954</v>
      </c>
      <c r="E72" s="17">
        <f>$C72*FARMER_WAGE+IF(LABOR_MODE=1,$D72,ROUNDUP($D72/TEMP_HOURS_PER_WORKER,0)*TEMP_HOURS_PER_WORKER)*TEMP_WAGE</f>
        <v>31293.296022522649</v>
      </c>
      <c r="F72" s="18">
        <f t="shared" si="8"/>
        <v>28.905440213775965</v>
      </c>
      <c r="G72" s="17">
        <f>$A72*FERT_MESCLUN</f>
        <v>16720</v>
      </c>
      <c r="H72" s="17">
        <f>$A72*PRICE_MESCLUN</f>
        <v>51300</v>
      </c>
      <c r="I72" s="17">
        <f t="shared" si="9"/>
        <v>1208.976937121337</v>
      </c>
      <c r="J72" s="17">
        <f>IF($A72=0,"",$I72+FERT_MESCLUN)</f>
        <v>2088.976937121337</v>
      </c>
      <c r="K72" s="17">
        <f>IF($A72=0,"",PRICE_MESCLUN-$J72)</f>
        <v>611.02306287866304</v>
      </c>
      <c r="L72" s="17">
        <f>$H72-$E72-$G72-FIXED_COST</f>
        <v>-16713.296022522649</v>
      </c>
      <c r="N72">
        <v>19</v>
      </c>
      <c r="O72" s="13">
        <f>$N72*HRS_PER_BED_MESCLUN*WEEKS*(1+DIM_PCT_MESCLUN)^$N72</f>
        <v>1082.6092178872495</v>
      </c>
      <c r="P72" s="13">
        <f>Labor!$H$7+Labor!$H$8</f>
        <v>3317.1448103185694</v>
      </c>
      <c r="Q72" s="13">
        <f t="shared" si="10"/>
        <v>4399.7540282058189</v>
      </c>
      <c r="R72" s="13">
        <f>MAX(0,$Q72-FARMER_HOURS)</f>
        <v>3679.7540282058189</v>
      </c>
      <c r="S72" s="17">
        <f>MIN($Q72,FARMER_HOURS)*FARMER_WAGE+IF(LABOR_MODE=1,$R72,ROUNDUP($R72/TEMP_HOURS_PER_WORKER,0)*TEMP_HOURS_PER_WORKER)*TEMP_WAGE</f>
        <v>88878.929929653008</v>
      </c>
      <c r="T72" s="17">
        <f t="shared" si="11"/>
        <v>1208.9769371213333</v>
      </c>
      <c r="U72" s="17">
        <f>IF($N72=0,"",$T72+FERT_MESCLUN)</f>
        <v>2088.9769371213333</v>
      </c>
      <c r="V72" s="17">
        <f>IF($N72=0,"",PRICE_MESCLUN-$U72)</f>
        <v>611.02306287866668</v>
      </c>
    </row>
    <row r="73" spans="1:22" x14ac:dyDescent="0.2">
      <c r="A73">
        <v>20</v>
      </c>
      <c r="B73" s="13" cm="1">
        <f t="array" ref="B73">INDEX(Labor!$D$5:$D$36,$A73+1)</f>
        <v>1153.8335085377266</v>
      </c>
      <c r="C73" s="13">
        <f>MIN($B73,FARMER_HOURS)</f>
        <v>720</v>
      </c>
      <c r="D73" s="13">
        <f>MAX(0,$B73-FARMER_HOURS)</f>
        <v>433.83350853772663</v>
      </c>
      <c r="E73" s="17">
        <f>$C73*FARMER_WAGE+IF(LABOR_MODE=1,$D73,ROUNDUP($D73/TEMP_HOURS_PER_WORKER,0)*TEMP_HOURS_PER_WORKER)*TEMP_WAGE</f>
        <v>32529.749708214931</v>
      </c>
      <c r="F73" s="18">
        <f t="shared" si="8"/>
        <v>28.192758719098435</v>
      </c>
      <c r="G73" s="17">
        <f>$A73*FERT_MESCLUN</f>
        <v>17600</v>
      </c>
      <c r="H73" s="17">
        <f>$A73*PRICE_MESCLUN</f>
        <v>54000</v>
      </c>
      <c r="I73" s="17">
        <f t="shared" si="9"/>
        <v>1236.4536856922823</v>
      </c>
      <c r="J73" s="17">
        <f>IF($A73=0,"",$I73+FERT_MESCLUN)</f>
        <v>2116.4536856922823</v>
      </c>
      <c r="K73" s="17">
        <f>IF($A73=0,"",PRICE_MESCLUN-$J73)</f>
        <v>583.54631430771769</v>
      </c>
      <c r="L73" s="17">
        <f>$H73-$E73-$G73-FIXED_COST</f>
        <v>-16129.749708214931</v>
      </c>
      <c r="N73">
        <v>20</v>
      </c>
      <c r="O73" s="13">
        <f>$N73*HRS_PER_BED_MESCLUN*WEEKS*(1+DIM_PCT_MESCLUN)^$N73</f>
        <v>1153.8335085377266</v>
      </c>
      <c r="P73" s="13">
        <f>Labor!$H$7+Labor!$H$8</f>
        <v>3317.1448103185694</v>
      </c>
      <c r="Q73" s="13">
        <f t="shared" si="10"/>
        <v>4470.978318856296</v>
      </c>
      <c r="R73" s="13">
        <f>MAX(0,$Q73-FARMER_HOURS)</f>
        <v>3750.978318856296</v>
      </c>
      <c r="S73" s="17">
        <f>MIN($Q73,FARMER_HOURS)*FARMER_WAGE+IF(LABOR_MODE=1,$R73,ROUNDUP($R73/TEMP_HOURS_PER_WORKER,0)*TEMP_HOURS_PER_WORKER)*TEMP_WAGE</f>
        <v>90115.383615345301</v>
      </c>
      <c r="T73" s="17">
        <f t="shared" si="11"/>
        <v>1236.4536856922932</v>
      </c>
      <c r="U73" s="17">
        <f>IF($N73=0,"",$T73+FERT_MESCLUN)</f>
        <v>2116.4536856922932</v>
      </c>
      <c r="V73" s="17">
        <f>IF($N73=0,"",PRICE_MESCLUN-$U73)</f>
        <v>583.54631430770678</v>
      </c>
    </row>
    <row r="74" spans="1:22" x14ac:dyDescent="0.2">
      <c r="A74">
        <v>21</v>
      </c>
      <c r="B74" s="13" cm="1">
        <f t="array" ref="B74">INDEX(Labor!$D$5:$D$36,$A74+1)</f>
        <v>1226.6692487641703</v>
      </c>
      <c r="C74" s="13">
        <f>MIN($B74,FARMER_HOURS)</f>
        <v>720</v>
      </c>
      <c r="D74" s="13">
        <f>MAX(0,$B74-FARMER_HOURS)</f>
        <v>506.66924876417033</v>
      </c>
      <c r="E74" s="17">
        <f>$C74*FARMER_WAGE+IF(LABOR_MODE=1,$D74,ROUNDUP($D74/TEMP_HOURS_PER_WORKER,0)*TEMP_HOURS_PER_WORKER)*TEMP_WAGE</f>
        <v>33794.178158545998</v>
      </c>
      <c r="F74" s="18">
        <f t="shared" si="8"/>
        <v>27.549543768699298</v>
      </c>
      <c r="G74" s="17">
        <f>$A74*FERT_MESCLUN</f>
        <v>18480</v>
      </c>
      <c r="H74" s="17">
        <f>$A74*PRICE_MESCLUN</f>
        <v>56700</v>
      </c>
      <c r="I74" s="17">
        <f t="shared" si="9"/>
        <v>1264.4284503310664</v>
      </c>
      <c r="J74" s="17">
        <f>IF($A74=0,"",$I74+FERT_MESCLUN)</f>
        <v>2144.4284503310664</v>
      </c>
      <c r="K74" s="17">
        <f>IF($A74=0,"",PRICE_MESCLUN-$J74)</f>
        <v>555.57154966893359</v>
      </c>
      <c r="L74" s="17">
        <f>$H74-$E74-$G74-FIXED_COST</f>
        <v>-15574.178158545998</v>
      </c>
      <c r="N74">
        <v>21</v>
      </c>
      <c r="O74" s="13">
        <f>$N74*HRS_PER_BED_MESCLUN*WEEKS*(1+DIM_PCT_MESCLUN)^$N74</f>
        <v>1226.6692487641703</v>
      </c>
      <c r="P74" s="13">
        <f>Labor!$H$7+Labor!$H$8</f>
        <v>3317.1448103185694</v>
      </c>
      <c r="Q74" s="13">
        <f t="shared" si="10"/>
        <v>4543.8140590827397</v>
      </c>
      <c r="R74" s="13">
        <f>MAX(0,$Q74-FARMER_HOURS)</f>
        <v>3823.8140590827397</v>
      </c>
      <c r="S74" s="17">
        <f>MIN($Q74,FARMER_HOURS)*FARMER_WAGE+IF(LABOR_MODE=1,$R74,ROUNDUP($R74/TEMP_HOURS_PER_WORKER,0)*TEMP_HOURS_PER_WORKER)*TEMP_WAGE</f>
        <v>91379.812065676349</v>
      </c>
      <c r="T74" s="17">
        <f t="shared" si="11"/>
        <v>1264.4284503310482</v>
      </c>
      <c r="U74" s="17">
        <f>IF($N74=0,"",$T74+FERT_MESCLUN)</f>
        <v>2144.4284503310482</v>
      </c>
      <c r="V74" s="17">
        <f>IF($N74=0,"",PRICE_MESCLUN-$U74)</f>
        <v>555.57154966895177</v>
      </c>
    </row>
    <row r="75" spans="1:22" x14ac:dyDescent="0.2">
      <c r="A75">
        <v>22</v>
      </c>
      <c r="B75" s="13" cm="1">
        <f t="array" ref="B75">INDEX(Labor!$D$5:$D$36,$A75+1)</f>
        <v>1301.1455960105666</v>
      </c>
      <c r="C75" s="13">
        <f>MIN($B75,FARMER_HOURS)</f>
        <v>720</v>
      </c>
      <c r="D75" s="13">
        <f>MAX(0,$B75-FARMER_HOURS)</f>
        <v>581.14559601056658</v>
      </c>
      <c r="E75" s="17">
        <f>$C75*FARMER_WAGE+IF(LABOR_MODE=1,$D75,ROUNDUP($D75/TEMP_HOURS_PER_WORKER,0)*TEMP_HOURS_PER_WORKER)*TEMP_WAGE</f>
        <v>35087.087546743431</v>
      </c>
      <c r="F75" s="18">
        <f t="shared" si="8"/>
        <v>26.966303889682834</v>
      </c>
      <c r="G75" s="17">
        <f>$A75*FERT_MESCLUN</f>
        <v>19360</v>
      </c>
      <c r="H75" s="17">
        <f>$A75*PRICE_MESCLUN</f>
        <v>59400</v>
      </c>
      <c r="I75" s="17">
        <f t="shared" si="9"/>
        <v>1292.9093881974331</v>
      </c>
      <c r="J75" s="17">
        <f>IF($A75=0,"",$I75+FERT_MESCLUN)</f>
        <v>2172.9093881974331</v>
      </c>
      <c r="K75" s="17">
        <f>IF($A75=0,"",PRICE_MESCLUN-$J75)</f>
        <v>527.09061180256685</v>
      </c>
      <c r="L75" s="17">
        <f>$H75-$E75-$G75-FIXED_COST</f>
        <v>-15047.087546743431</v>
      </c>
      <c r="N75">
        <v>22</v>
      </c>
      <c r="O75" s="13">
        <f>$N75*HRS_PER_BED_MESCLUN*WEEKS*(1+DIM_PCT_MESCLUN)^$N75</f>
        <v>1301.1455960105666</v>
      </c>
      <c r="P75" s="13">
        <f>Labor!$H$7+Labor!$H$8</f>
        <v>3317.1448103185694</v>
      </c>
      <c r="Q75" s="13">
        <f t="shared" si="10"/>
        <v>4618.2904063291362</v>
      </c>
      <c r="R75" s="13">
        <f>MAX(0,$Q75-FARMER_HOURS)</f>
        <v>3898.2904063291362</v>
      </c>
      <c r="S75" s="17">
        <f>MIN($Q75,FARMER_HOURS)*FARMER_WAGE+IF(LABOR_MODE=1,$R75,ROUNDUP($R75/TEMP_HOURS_PER_WORKER,0)*TEMP_HOURS_PER_WORKER)*TEMP_WAGE</f>
        <v>92672.72145387379</v>
      </c>
      <c r="T75" s="17">
        <f t="shared" si="11"/>
        <v>1292.9093881974404</v>
      </c>
      <c r="U75" s="17">
        <f>IF($N75=0,"",$T75+FERT_MESCLUN)</f>
        <v>2172.9093881974404</v>
      </c>
      <c r="V75" s="17">
        <f>IF($N75=0,"",PRICE_MESCLUN-$U75)</f>
        <v>527.09061180255958</v>
      </c>
    </row>
    <row r="76" spans="1:22" x14ac:dyDescent="0.2">
      <c r="A76">
        <v>23</v>
      </c>
      <c r="B76" s="13" cm="1">
        <f t="array" ref="B76">INDEX(Labor!$D$5:$D$36,$A76+1)</f>
        <v>1377.292184868003</v>
      </c>
      <c r="C76" s="13">
        <f>MIN($B76,FARMER_HOURS)</f>
        <v>720</v>
      </c>
      <c r="D76" s="13">
        <f>MAX(0,$B76-FARMER_HOURS)</f>
        <v>657.29218486800301</v>
      </c>
      <c r="E76" s="17">
        <f>$C76*FARMER_WAGE+IF(LABOR_MODE=1,$D76,ROUNDUP($D76/TEMP_HOURS_PER_WORKER,0)*TEMP_HOURS_PER_WORKER)*TEMP_WAGE</f>
        <v>36408.99232930853</v>
      </c>
      <c r="F76" s="18">
        <f t="shared" si="8"/>
        <v>26.435198521654211</v>
      </c>
      <c r="G76" s="17">
        <f>$A76*FERT_MESCLUN</f>
        <v>20240</v>
      </c>
      <c r="H76" s="17">
        <f>$A76*PRICE_MESCLUN</f>
        <v>62100</v>
      </c>
      <c r="I76" s="17">
        <f t="shared" si="9"/>
        <v>1321.9047825650996</v>
      </c>
      <c r="J76" s="17">
        <f>IF($A76=0,"",$I76+FERT_MESCLUN)</f>
        <v>2201.9047825650996</v>
      </c>
      <c r="K76" s="17">
        <f>IF($A76=0,"",PRICE_MESCLUN-$J76)</f>
        <v>498.09521743490041</v>
      </c>
      <c r="L76" s="17">
        <f>$H76-$E76-$G76-FIXED_COST</f>
        <v>-14548.99232930853</v>
      </c>
      <c r="N76">
        <v>23</v>
      </c>
      <c r="O76" s="13">
        <f>$N76*HRS_PER_BED_MESCLUN*WEEKS*(1+DIM_PCT_MESCLUN)^$N76</f>
        <v>1377.292184868003</v>
      </c>
      <c r="P76" s="13">
        <f>Labor!$H$7+Labor!$H$8</f>
        <v>3317.1448103185694</v>
      </c>
      <c r="Q76" s="13">
        <f t="shared" si="10"/>
        <v>4694.4369951865719</v>
      </c>
      <c r="R76" s="13">
        <f>MAX(0,$Q76-FARMER_HOURS)</f>
        <v>3974.4369951865719</v>
      </c>
      <c r="S76" s="17">
        <f>MIN($Q76,FARMER_HOURS)*FARMER_WAGE+IF(LABOR_MODE=1,$R76,ROUNDUP($R76/TEMP_HOURS_PER_WORKER,0)*TEMP_HOURS_PER_WORKER)*TEMP_WAGE</f>
        <v>93994.626236438882</v>
      </c>
      <c r="T76" s="17">
        <f t="shared" si="11"/>
        <v>1321.9047825650923</v>
      </c>
      <c r="U76" s="17">
        <f>IF($N76=0,"",$T76+FERT_MESCLUN)</f>
        <v>2201.9047825650923</v>
      </c>
      <c r="V76" s="17">
        <f>IF($N76=0,"",PRICE_MESCLUN-$U76)</f>
        <v>498.09521743490768</v>
      </c>
    </row>
    <row r="77" spans="1:22" x14ac:dyDescent="0.2">
      <c r="A77">
        <v>24</v>
      </c>
      <c r="B77" s="13" cm="1">
        <f t="array" ref="B77">INDEX(Labor!$D$5:$D$36,$A77+1)</f>
        <v>1455.1391344474989</v>
      </c>
      <c r="C77" s="13">
        <f>MIN($B77,FARMER_HOURS)</f>
        <v>720</v>
      </c>
      <c r="D77" s="13">
        <f>MAX(0,$B77-FARMER_HOURS)</f>
        <v>735.13913444749892</v>
      </c>
      <c r="E77" s="17">
        <f>$C77*FARMER_WAGE+IF(LABOR_MODE=1,$D77,ROUNDUP($D77/TEMP_HOURS_PER_WORKER,0)*TEMP_HOURS_PER_WORKER)*TEMP_WAGE</f>
        <v>37760.415374008575</v>
      </c>
      <c r="F77" s="18">
        <f t="shared" si="8"/>
        <v>25.949694073993694</v>
      </c>
      <c r="G77" s="17">
        <f>$A77*FERT_MESCLUN</f>
        <v>21120</v>
      </c>
      <c r="H77" s="17">
        <f>$A77*PRICE_MESCLUN</f>
        <v>64800</v>
      </c>
      <c r="I77" s="17">
        <f t="shared" si="9"/>
        <v>1351.4230447000446</v>
      </c>
      <c r="J77" s="17">
        <f>IF($A77=0,"",$I77+FERT_MESCLUN)</f>
        <v>2231.4230447000446</v>
      </c>
      <c r="K77" s="17">
        <f>IF($A77=0,"",PRICE_MESCLUN-$J77)</f>
        <v>468.57695529995544</v>
      </c>
      <c r="L77" s="17">
        <f>$H77-$E77-$G77-FIXED_COST</f>
        <v>-14080.415374008575</v>
      </c>
      <c r="N77">
        <v>24</v>
      </c>
      <c r="O77" s="13">
        <f>$N77*HRS_PER_BED_MESCLUN*WEEKS*(1+DIM_PCT_MESCLUN)^$N77</f>
        <v>1455.1391344474989</v>
      </c>
      <c r="P77" s="13">
        <f>Labor!$H$7+Labor!$H$8</f>
        <v>3317.1448103185694</v>
      </c>
      <c r="Q77" s="13">
        <f t="shared" si="10"/>
        <v>4772.2839447660681</v>
      </c>
      <c r="R77" s="13">
        <f>MAX(0,$Q77-FARMER_HOURS)</f>
        <v>4052.2839447660681</v>
      </c>
      <c r="S77" s="17">
        <f>MIN($Q77,FARMER_HOURS)*FARMER_WAGE+IF(LABOR_MODE=1,$R77,ROUNDUP($R77/TEMP_HOURS_PER_WORKER,0)*TEMP_HOURS_PER_WORKER)*TEMP_WAGE</f>
        <v>95346.049281138927</v>
      </c>
      <c r="T77" s="17">
        <f t="shared" si="11"/>
        <v>1351.4230447000446</v>
      </c>
      <c r="U77" s="17">
        <f>IF($N77=0,"",$T77+FERT_MESCLUN)</f>
        <v>2231.4230447000446</v>
      </c>
      <c r="V77" s="17">
        <f>IF($N77=0,"",PRICE_MESCLUN-$U77)</f>
        <v>468.57695529995544</v>
      </c>
    </row>
    <row r="78" spans="1:22" x14ac:dyDescent="0.2">
      <c r="A78">
        <v>25</v>
      </c>
      <c r="B78" s="13" cm="1">
        <f t="array" ref="B78">INDEX(Labor!$D$5:$D$36,$A78+1)</f>
        <v>1534.7170558625965</v>
      </c>
      <c r="C78" s="13">
        <f>MIN($B78,FARMER_HOURS)</f>
        <v>720</v>
      </c>
      <c r="D78" s="13">
        <f>MAX(0,$B78-FARMER_HOURS)</f>
        <v>814.71705586259645</v>
      </c>
      <c r="E78" s="17">
        <f>$C78*FARMER_WAGE+IF(LABOR_MODE=1,$D78,ROUNDUP($D78/TEMP_HOURS_PER_WORKER,0)*TEMP_HOURS_PER_WORKER)*TEMP_WAGE</f>
        <v>39141.888089774671</v>
      </c>
      <c r="F78" s="18">
        <f t="shared" si="8"/>
        <v>25.504302529416243</v>
      </c>
      <c r="G78" s="17">
        <f>$A78*FERT_MESCLUN</f>
        <v>22000</v>
      </c>
      <c r="H78" s="17">
        <f>$A78*PRICE_MESCLUN</f>
        <v>67500</v>
      </c>
      <c r="I78" s="17">
        <f t="shared" si="9"/>
        <v>1381.4727157660964</v>
      </c>
      <c r="J78" s="17">
        <f>IF($A78=0,"",$I78+FERT_MESCLUN)</f>
        <v>2261.4727157660964</v>
      </c>
      <c r="K78" s="17">
        <f>IF($A78=0,"",PRICE_MESCLUN-$J78)</f>
        <v>438.52728423390363</v>
      </c>
      <c r="L78" s="17">
        <f>$H78-$E78-$G78-FIXED_COST</f>
        <v>-13641.888089774671</v>
      </c>
      <c r="N78">
        <v>25</v>
      </c>
      <c r="O78" s="13">
        <f>$N78*HRS_PER_BED_MESCLUN*WEEKS*(1+DIM_PCT_MESCLUN)^$N78</f>
        <v>1534.7170558625965</v>
      </c>
      <c r="P78" s="13">
        <f>Labor!$H$7+Labor!$H$8</f>
        <v>3317.1448103185694</v>
      </c>
      <c r="Q78" s="13">
        <f t="shared" si="10"/>
        <v>4851.8618661811661</v>
      </c>
      <c r="R78" s="13">
        <f>MAX(0,$Q78-FARMER_HOURS)</f>
        <v>4131.8618661811661</v>
      </c>
      <c r="S78" s="17">
        <f>MIN($Q78,FARMER_HOURS)*FARMER_WAGE+IF(LABOR_MODE=1,$R78,ROUNDUP($R78/TEMP_HOURS_PER_WORKER,0)*TEMP_HOURS_PER_WORKER)*TEMP_WAGE</f>
        <v>96727.521996905038</v>
      </c>
      <c r="T78" s="17">
        <f t="shared" si="11"/>
        <v>1381.4727157661109</v>
      </c>
      <c r="U78" s="17">
        <f>IF($N78=0,"",$T78+FERT_MESCLUN)</f>
        <v>2261.4727157661109</v>
      </c>
      <c r="V78" s="17">
        <f>IF($N78=0,"",PRICE_MESCLUN-$U78)</f>
        <v>438.52728423388908</v>
      </c>
    </row>
    <row r="79" spans="1:22" x14ac:dyDescent="0.2">
      <c r="A79">
        <v>26</v>
      </c>
      <c r="B79" s="13" cm="1">
        <f t="array" ref="B79">INDEX(Labor!$D$5:$D$36,$A79+1)</f>
        <v>1616.0570598233144</v>
      </c>
      <c r="C79" s="13">
        <f>MIN($B79,FARMER_HOURS)</f>
        <v>720</v>
      </c>
      <c r="D79" s="13">
        <f>MAX(0,$B79-FARMER_HOURS)</f>
        <v>896.05705982331438</v>
      </c>
      <c r="E79" s="17">
        <f>$C79*FARMER_WAGE+IF(LABOR_MODE=1,$D79,ROUNDUP($D79/TEMP_HOURS_PER_WORKER,0)*TEMP_HOURS_PER_WORKER)*TEMP_WAGE</f>
        <v>40553.950558532735</v>
      </c>
      <c r="F79" s="18">
        <f t="shared" si="8"/>
        <v>25.094380369815998</v>
      </c>
      <c r="G79" s="17">
        <f>$A79*FERT_MESCLUN</f>
        <v>22880</v>
      </c>
      <c r="H79" s="17">
        <f>$A79*PRICE_MESCLUN</f>
        <v>70200</v>
      </c>
      <c r="I79" s="17">
        <f t="shared" si="9"/>
        <v>1412.0624687580639</v>
      </c>
      <c r="J79" s="17">
        <f>IF($A79=0,"",$I79+FERT_MESCLUN)</f>
        <v>2292.0624687580639</v>
      </c>
      <c r="K79" s="17">
        <f>IF($A79=0,"",PRICE_MESCLUN-$J79)</f>
        <v>407.93753124193609</v>
      </c>
      <c r="L79" s="17">
        <f>$H79-$E79-$G79-FIXED_COST</f>
        <v>-13233.950558532735</v>
      </c>
      <c r="N79">
        <v>26</v>
      </c>
      <c r="O79" s="13">
        <f>$N79*HRS_PER_BED_MESCLUN*WEEKS*(1+DIM_PCT_MESCLUN)^$N79</f>
        <v>1616.0570598233144</v>
      </c>
      <c r="P79" s="13">
        <f>Labor!$H$7+Labor!$H$8</f>
        <v>3317.1448103185694</v>
      </c>
      <c r="Q79" s="13">
        <f t="shared" si="10"/>
        <v>4933.2018701418838</v>
      </c>
      <c r="R79" s="13">
        <f>MAX(0,$Q79-FARMER_HOURS)</f>
        <v>4213.2018701418838</v>
      </c>
      <c r="S79" s="17">
        <f>MIN($Q79,FARMER_HOURS)*FARMER_WAGE+IF(LABOR_MODE=1,$R79,ROUNDUP($R79/TEMP_HOURS_PER_WORKER,0)*TEMP_HOURS_PER_WORKER)*TEMP_WAGE</f>
        <v>98139.584465663094</v>
      </c>
      <c r="T79" s="17">
        <f t="shared" si="11"/>
        <v>1412.0624687580566</v>
      </c>
      <c r="U79" s="17">
        <f>IF($N79=0,"",$T79+FERT_MESCLUN)</f>
        <v>2292.0624687580566</v>
      </c>
      <c r="V79" s="17">
        <f>IF($N79=0,"",PRICE_MESCLUN-$U79)</f>
        <v>407.93753124194336</v>
      </c>
    </row>
    <row r="80" spans="1:22" x14ac:dyDescent="0.2">
      <c r="A80">
        <v>27</v>
      </c>
      <c r="B80" s="13" cm="1">
        <f t="array" ref="B80">INDEX(Labor!$D$5:$D$36,$A80+1)</f>
        <v>1699.1907643430709</v>
      </c>
      <c r="C80" s="13">
        <f>MIN($B80,FARMER_HOURS)</f>
        <v>720</v>
      </c>
      <c r="D80" s="13">
        <f>MAX(0,$B80-FARMER_HOURS)</f>
        <v>979.1907643430709</v>
      </c>
      <c r="E80" s="17">
        <f>$C80*FARMER_WAGE+IF(LABOR_MODE=1,$D80,ROUNDUP($D80/TEMP_HOURS_PER_WORKER,0)*TEMP_HOURS_PER_WORKER)*TEMP_WAGE</f>
        <v>41997.151668995706</v>
      </c>
      <c r="F80" s="18">
        <f t="shared" si="8"/>
        <v>24.715972185284532</v>
      </c>
      <c r="G80" s="17">
        <f>$A80*FERT_MESCLUN</f>
        <v>23760</v>
      </c>
      <c r="H80" s="17">
        <f>$A80*PRICE_MESCLUN</f>
        <v>72900</v>
      </c>
      <c r="I80" s="17">
        <f t="shared" si="9"/>
        <v>1443.201110462971</v>
      </c>
      <c r="J80" s="17">
        <f>IF($A80=0,"",$I80+FERT_MESCLUN)</f>
        <v>2323.201110462971</v>
      </c>
      <c r="K80" s="17">
        <f>IF($A80=0,"",PRICE_MESCLUN-$J80)</f>
        <v>376.79888953702903</v>
      </c>
      <c r="L80" s="17">
        <f>$H80-$E80-$G80-FIXED_COST</f>
        <v>-12857.151668995706</v>
      </c>
      <c r="N80">
        <v>27</v>
      </c>
      <c r="O80" s="13">
        <f>$N80*HRS_PER_BED_MESCLUN*WEEKS*(1+DIM_PCT_MESCLUN)^$N80</f>
        <v>1699.1907643430709</v>
      </c>
      <c r="P80" s="13">
        <f>Labor!$H$7+Labor!$H$8</f>
        <v>3317.1448103185694</v>
      </c>
      <c r="Q80" s="13">
        <f t="shared" si="10"/>
        <v>5016.3355746616398</v>
      </c>
      <c r="R80" s="13">
        <f>MAX(0,$Q80-FARMER_HOURS)</f>
        <v>4296.3355746616398</v>
      </c>
      <c r="S80" s="17">
        <f>MIN($Q80,FARMER_HOURS)*FARMER_WAGE+IF(LABOR_MODE=1,$R80,ROUNDUP($R80/TEMP_HOURS_PER_WORKER,0)*TEMP_HOURS_PER_WORKER)*TEMP_WAGE</f>
        <v>99582.785576126058</v>
      </c>
      <c r="T80" s="17">
        <f t="shared" si="11"/>
        <v>1443.2011104629637</v>
      </c>
      <c r="U80" s="17">
        <f>IF($N80=0,"",$T80+FERT_MESCLUN)</f>
        <v>2323.2011104629637</v>
      </c>
      <c r="V80" s="17">
        <f>IF($N80=0,"",PRICE_MESCLUN-$U80)</f>
        <v>376.7988895370363</v>
      </c>
    </row>
    <row r="81" spans="1:22" x14ac:dyDescent="0.2">
      <c r="A81">
        <v>28</v>
      </c>
      <c r="B81" s="13" cm="1">
        <f t="array" ref="B81">INDEX(Labor!$D$5:$D$36,$A81+1)</f>
        <v>1784.1503025602246</v>
      </c>
      <c r="C81" s="13">
        <f>MIN($B81,FARMER_HOURS)</f>
        <v>720</v>
      </c>
      <c r="D81" s="13">
        <f>MAX(0,$B81-FARMER_HOURS)</f>
        <v>1064.1503025602246</v>
      </c>
      <c r="E81" s="17">
        <f>$C81*FARMER_WAGE+IF(LABOR_MODE=1,$D81,ROUNDUP($D81/TEMP_HOURS_PER_WORKER,0)*TEMP_HOURS_PER_WORKER)*TEMP_WAGE</f>
        <v>43472.049252445497</v>
      </c>
      <c r="F81" s="18">
        <f t="shared" si="8"/>
        <v>24.365687795509078</v>
      </c>
      <c r="G81" s="17">
        <f>$A81*FERT_MESCLUN</f>
        <v>24640</v>
      </c>
      <c r="H81" s="17">
        <f>$A81*PRICE_MESCLUN</f>
        <v>75600</v>
      </c>
      <c r="I81" s="17">
        <f t="shared" si="9"/>
        <v>1474.8975834497905</v>
      </c>
      <c r="J81" s="17">
        <f>IF($A81=0,"",$I81+FERT_MESCLUN)</f>
        <v>2354.8975834497905</v>
      </c>
      <c r="K81" s="17">
        <f>IF($A81=0,"",PRICE_MESCLUN-$J81)</f>
        <v>345.10241655020945</v>
      </c>
      <c r="L81" s="17">
        <f>$H81-$E81-$G81-FIXED_COST</f>
        <v>-12512.049252445497</v>
      </c>
      <c r="N81">
        <v>28</v>
      </c>
      <c r="O81" s="13">
        <f>$N81*HRS_PER_BED_MESCLUN*WEEKS*(1+DIM_PCT_MESCLUN)^$N81</f>
        <v>1784.1503025602246</v>
      </c>
      <c r="P81" s="13">
        <f>Labor!$H$7+Labor!$H$8</f>
        <v>3317.1448103185694</v>
      </c>
      <c r="Q81" s="13">
        <f t="shared" si="10"/>
        <v>5101.2951128787936</v>
      </c>
      <c r="R81" s="13">
        <f>MAX(0,$Q81-FARMER_HOURS)</f>
        <v>4381.2951128787936</v>
      </c>
      <c r="S81" s="17">
        <f>MIN($Q81,FARMER_HOURS)*FARMER_WAGE+IF(LABOR_MODE=1,$R81,ROUNDUP($R81/TEMP_HOURS_PER_WORKER,0)*TEMP_HOURS_PER_WORKER)*TEMP_WAGE</f>
        <v>101057.68315957584</v>
      </c>
      <c r="T81" s="17">
        <f t="shared" si="11"/>
        <v>1474.8975834497833</v>
      </c>
      <c r="U81" s="17">
        <f>IF($N81=0,"",$T81+FERT_MESCLUN)</f>
        <v>2354.8975834497833</v>
      </c>
      <c r="V81" s="17">
        <f>IF($N81=0,"",PRICE_MESCLUN-$U81)</f>
        <v>345.10241655021673</v>
      </c>
    </row>
    <row r="82" spans="1:22" x14ac:dyDescent="0.2">
      <c r="A82">
        <v>29</v>
      </c>
      <c r="B82" s="13" cm="1">
        <f t="array" ref="B82">INDEX(Labor!$D$5:$D$36,$A82+1)</f>
        <v>1870.9683306758782</v>
      </c>
      <c r="C82" s="13">
        <f>MIN($B82,FARMER_HOURS)</f>
        <v>720</v>
      </c>
      <c r="D82" s="13">
        <f>MAX(0,$B82-FARMER_HOURS)</f>
        <v>1150.9683306758782</v>
      </c>
      <c r="E82" s="17">
        <f>$C82*FARMER_WAGE+IF(LABOR_MODE=1,$D82,ROUNDUP($D82/TEMP_HOURS_PER_WORKER,0)*TEMP_HOURS_PER_WORKER)*TEMP_WAGE</f>
        <v>44979.210220533241</v>
      </c>
      <c r="F82" s="18">
        <f t="shared" si="8"/>
        <v>24.04060479435519</v>
      </c>
      <c r="G82" s="17">
        <f>$A82*FERT_MESCLUN</f>
        <v>25520</v>
      </c>
      <c r="H82" s="17">
        <f>$A82*PRICE_MESCLUN</f>
        <v>78300</v>
      </c>
      <c r="I82" s="17">
        <f t="shared" si="9"/>
        <v>1507.1609680877445</v>
      </c>
      <c r="J82" s="17">
        <f>IF($A82=0,"",$I82+FERT_MESCLUN)</f>
        <v>2387.1609680877445</v>
      </c>
      <c r="K82" s="17">
        <f>IF($A82=0,"",PRICE_MESCLUN-$J82)</f>
        <v>312.83903191225545</v>
      </c>
      <c r="L82" s="17">
        <f>$H82-$E82-$G82-FIXED_COST</f>
        <v>-12199.210220533241</v>
      </c>
      <c r="N82">
        <v>29</v>
      </c>
      <c r="O82" s="13">
        <f>$N82*HRS_PER_BED_MESCLUN*WEEKS*(1+DIM_PCT_MESCLUN)^$N82</f>
        <v>1870.9683306758782</v>
      </c>
      <c r="P82" s="13">
        <f>Labor!$H$7+Labor!$H$8</f>
        <v>3317.1448103185694</v>
      </c>
      <c r="Q82" s="13">
        <f t="shared" si="10"/>
        <v>5188.1131409944473</v>
      </c>
      <c r="R82" s="13">
        <f>MAX(0,$Q82-FARMER_HOURS)</f>
        <v>4468.1131409944473</v>
      </c>
      <c r="S82" s="17">
        <f>MIN($Q82,FARMER_HOURS)*FARMER_WAGE+IF(LABOR_MODE=1,$R82,ROUNDUP($R82/TEMP_HOURS_PER_WORKER,0)*TEMP_HOURS_PER_WORKER)*TEMP_WAGE</f>
        <v>102564.8441276636</v>
      </c>
      <c r="T82" s="17">
        <f t="shared" si="11"/>
        <v>1507.1609680877591</v>
      </c>
      <c r="U82" s="17">
        <f>IF($N82=0,"",$T82+FERT_MESCLUN)</f>
        <v>2387.1609680877591</v>
      </c>
      <c r="V82" s="17">
        <f>IF($N82=0,"",PRICE_MESCLUN-$U82)</f>
        <v>312.8390319122409</v>
      </c>
    </row>
    <row r="83" spans="1:22" x14ac:dyDescent="0.2">
      <c r="A83">
        <v>30</v>
      </c>
      <c r="B83" s="13" cm="1">
        <f t="array" ref="B83">INDEX(Labor!$D$5:$D$36,$A83+1)</f>
        <v>1959.6780360096488</v>
      </c>
      <c r="C83" s="13">
        <f>MIN($B83,FARMER_HOURS)</f>
        <v>720</v>
      </c>
      <c r="D83" s="13">
        <f>MAX(0,$B83-FARMER_HOURS)</f>
        <v>1239.6780360096488</v>
      </c>
      <c r="E83" s="17">
        <f>$C83*FARMER_WAGE+IF(LABOR_MODE=1,$D83,ROUNDUP($D83/TEMP_HOURS_PER_WORKER,0)*TEMP_HOURS_PER_WORKER)*TEMP_WAGE</f>
        <v>46519.210705127502</v>
      </c>
      <c r="F83" s="18">
        <f t="shared" si="8"/>
        <v>23.738190585557216</v>
      </c>
      <c r="G83" s="17">
        <f>$A83*FERT_MESCLUN</f>
        <v>26400</v>
      </c>
      <c r="H83" s="17">
        <f>$A83*PRICE_MESCLUN</f>
        <v>81000</v>
      </c>
      <c r="I83" s="17">
        <f t="shared" si="9"/>
        <v>1540.0004845942603</v>
      </c>
      <c r="J83" s="17">
        <f>IF($A83=0,"",$I83+FERT_MESCLUN)</f>
        <v>2420.0004845942603</v>
      </c>
      <c r="K83" s="17">
        <f>IF($A83=0,"",PRICE_MESCLUN-$J83)</f>
        <v>279.99951540573966</v>
      </c>
      <c r="L83" s="17">
        <f>$H83-$E83-$G83-FIXED_COST</f>
        <v>-11919.210705127502</v>
      </c>
      <c r="N83">
        <v>30</v>
      </c>
      <c r="O83" s="13">
        <f>$N83*HRS_PER_BED_MESCLUN*WEEKS*(1+DIM_PCT_MESCLUN)^$N83</f>
        <v>1959.6780360096488</v>
      </c>
      <c r="P83" s="13">
        <f>Labor!$H$7+Labor!$H$8</f>
        <v>3317.1448103185694</v>
      </c>
      <c r="Q83" s="13">
        <f t="shared" si="10"/>
        <v>5276.8228463282185</v>
      </c>
      <c r="R83" s="13">
        <f>MAX(0,$Q83-FARMER_HOURS)</f>
        <v>4556.8228463282185</v>
      </c>
      <c r="S83" s="17">
        <f>MIN($Q83,FARMER_HOURS)*FARMER_WAGE+IF(LABOR_MODE=1,$R83,ROUNDUP($R83/TEMP_HOURS_PER_WORKER,0)*TEMP_HOURS_PER_WORKER)*TEMP_WAGE</f>
        <v>104104.84461225786</v>
      </c>
      <c r="T83" s="17">
        <f t="shared" si="11"/>
        <v>1540.0004845942603</v>
      </c>
      <c r="U83" s="17">
        <f>IF($N83=0,"",$T83+FERT_MESCLUN)</f>
        <v>2420.0004845942603</v>
      </c>
      <c r="V83" s="17">
        <f>IF($N83=0,"",PRICE_MESCLUN-$U83)</f>
        <v>279.99951540573966</v>
      </c>
    </row>
    <row r="84" spans="1:22" x14ac:dyDescent="0.2">
      <c r="N84">
        <v>31</v>
      </c>
      <c r="O84" s="13">
        <f>$N84*HRS_PER_BED_MESCLUN*WEEKS*(1+DIM_PCT_MESCLUN)^$N84</f>
        <v>2050.3131451750946</v>
      </c>
      <c r="P84" s="13">
        <f>Labor!$H$7+Labor!$H$8</f>
        <v>3317.1448103185694</v>
      </c>
      <c r="Q84" s="13">
        <f t="shared" si="10"/>
        <v>5367.4579554936645</v>
      </c>
      <c r="R84" s="13">
        <f>MAX(0,$Q84-FARMER_HOURS)</f>
        <v>4647.4579554936645</v>
      </c>
      <c r="S84" s="17">
        <f>MIN($Q84,FARMER_HOURS)*FARMER_WAGE+IF(LABOR_MODE=1,$R84,ROUNDUP($R84/TEMP_HOURS_PER_WORKER,0)*TEMP_HOURS_PER_WORKER)*TEMP_WAGE</f>
        <v>105678.27010737</v>
      </c>
      <c r="T84" s="17">
        <f t="shared" si="11"/>
        <v>1573.4254951121402</v>
      </c>
      <c r="U84" s="17">
        <f>IF($N84=0,"",$T84+FERT_MESCLUN)</f>
        <v>2453.4254951121402</v>
      </c>
      <c r="V84" s="17">
        <f>IF($N84=0,"",PRICE_MESCLUN-$U84)</f>
        <v>246.5745048878598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084C-3055-5047-9AAE-5B853D8F0DFD}">
  <dimension ref="A1:E52"/>
  <sheetViews>
    <sheetView workbookViewId="0">
      <selection activeCell="C6" sqref="C6"/>
    </sheetView>
  </sheetViews>
  <sheetFormatPr baseColWidth="10" defaultRowHeight="16" x14ac:dyDescent="0.2"/>
  <cols>
    <col min="1" max="1" width="31.6640625" customWidth="1"/>
    <col min="2" max="2" width="33.33203125" customWidth="1"/>
    <col min="3" max="8" width="15.83203125" customWidth="1"/>
    <col min="9" max="9" width="46.6640625" customWidth="1"/>
  </cols>
  <sheetData>
    <row r="1" spans="1:4" ht="19" x14ac:dyDescent="0.25">
      <c r="A1" s="2" t="s">
        <v>95</v>
      </c>
    </row>
    <row r="3" spans="1:4" x14ac:dyDescent="0.2">
      <c r="A3" s="1" t="s">
        <v>96</v>
      </c>
    </row>
    <row r="4" spans="1:4" ht="17" x14ac:dyDescent="0.2">
      <c r="A4" s="20" t="s">
        <v>97</v>
      </c>
      <c r="B4" s="20" t="s">
        <v>98</v>
      </c>
      <c r="C4" s="20" t="s">
        <v>99</v>
      </c>
      <c r="D4" s="20" t="s">
        <v>100</v>
      </c>
    </row>
    <row r="5" spans="1:4" x14ac:dyDescent="0.2">
      <c r="A5" t="s">
        <v>101</v>
      </c>
      <c r="B5" s="24">
        <v>10</v>
      </c>
      <c r="C5" s="15">
        <v>20</v>
      </c>
      <c r="D5" t="str">
        <f>IF($B5&lt;=$C5,"OK","VIOLATED")</f>
        <v>OK</v>
      </c>
    </row>
    <row r="6" spans="1:4" x14ac:dyDescent="0.2">
      <c r="A6" t="s">
        <v>102</v>
      </c>
      <c r="B6" s="24">
        <v>20</v>
      </c>
      <c r="C6" s="15">
        <v>0</v>
      </c>
      <c r="D6" t="str">
        <f>IF($B6&lt;=$C6,"OK","VIOLATED")</f>
        <v>VIOLATED</v>
      </c>
    </row>
    <row r="7" spans="1:4" x14ac:dyDescent="0.2">
      <c r="A7" t="s">
        <v>37</v>
      </c>
      <c r="B7" s="24">
        <v>30</v>
      </c>
      <c r="C7" s="15">
        <v>0</v>
      </c>
      <c r="D7" t="str">
        <f>IF($B7&lt;=$C7,"OK","VIOLATED")</f>
        <v>VIOLATED</v>
      </c>
    </row>
    <row r="8" spans="1:4" x14ac:dyDescent="0.2">
      <c r="A8" t="s">
        <v>103</v>
      </c>
      <c r="B8" s="15">
        <f>SUM($B$5:$B$7)</f>
        <v>60</v>
      </c>
      <c r="C8" s="15">
        <f>TOTAL_BEDS</f>
        <v>64</v>
      </c>
      <c r="D8" t="str">
        <f>IF($B8&lt;=$C8,"OK","VIOLATED")</f>
        <v>OK</v>
      </c>
    </row>
    <row r="10" spans="1:4" x14ac:dyDescent="0.2">
      <c r="A10" s="1" t="s">
        <v>104</v>
      </c>
    </row>
    <row r="11" spans="1:4" x14ac:dyDescent="0.2">
      <c r="A11" t="s">
        <v>60</v>
      </c>
      <c r="B11" s="25">
        <f>Labor!$H$10</f>
        <v>5276.8228463282185</v>
      </c>
    </row>
    <row r="12" spans="1:4" x14ac:dyDescent="0.2">
      <c r="A12" t="s">
        <v>105</v>
      </c>
      <c r="B12" s="23">
        <f>Labor!$H$13</f>
        <v>3.1644603099501518</v>
      </c>
      <c r="C12">
        <f>TEMP_WORKERS_MAX</f>
        <v>4</v>
      </c>
      <c r="D12" t="str">
        <f>IF($B12&lt;=$C12,"OK","VIOLATED")</f>
        <v>OK</v>
      </c>
    </row>
    <row r="13" spans="1:4" x14ac:dyDescent="0.2">
      <c r="A13" t="s">
        <v>64</v>
      </c>
      <c r="B13" s="23">
        <f>Labor!$H$14</f>
        <v>3.1644603099501518</v>
      </c>
    </row>
    <row r="14" spans="1:4" x14ac:dyDescent="0.2">
      <c r="A14" t="s">
        <v>69</v>
      </c>
      <c r="B14" s="26">
        <f>Labor!$H$19</f>
        <v>19.728698052597565</v>
      </c>
    </row>
    <row r="15" spans="1:4" x14ac:dyDescent="0.2">
      <c r="A15" t="s">
        <v>106</v>
      </c>
      <c r="B15" t="str">
        <f>IF(LABOR_MODE=1,"Fractional temp hours","Whole workers (step cost)")</f>
        <v>Fractional temp hours</v>
      </c>
    </row>
    <row r="17" spans="1:5" x14ac:dyDescent="0.2">
      <c r="A17" s="1" t="s">
        <v>107</v>
      </c>
    </row>
    <row r="18" spans="1:5" x14ac:dyDescent="0.2">
      <c r="A18" t="s">
        <v>108</v>
      </c>
      <c r="B18" s="17">
        <f>$B$5*PRICE_TOMATO+$B$6*PRICE_CARROT+$B$7*PRICE_MESCLUN</f>
        <v>210880</v>
      </c>
    </row>
    <row r="19" spans="1:5" x14ac:dyDescent="0.2">
      <c r="A19" t="s">
        <v>109</v>
      </c>
      <c r="B19" s="27">
        <f>-Labor!$H$18</f>
        <v>-104104.84461225786</v>
      </c>
    </row>
    <row r="20" spans="1:5" x14ac:dyDescent="0.2">
      <c r="A20" t="s">
        <v>110</v>
      </c>
      <c r="B20" s="17">
        <f>-($B$5*FERT_TOMATO+$B$6*FERT_CARROT+$B$7*FERT_MESCLUN)</f>
        <v>-44000</v>
      </c>
    </row>
    <row r="21" spans="1:5" x14ac:dyDescent="0.2">
      <c r="A21" t="s">
        <v>111</v>
      </c>
      <c r="B21" s="17">
        <f>-FIXED_COST</f>
        <v>-20000</v>
      </c>
    </row>
    <row r="22" spans="1:5" ht="17" thickBot="1" x14ac:dyDescent="0.25">
      <c r="A22" t="s">
        <v>112</v>
      </c>
      <c r="B22" s="28">
        <f>SUM($B$18:$B$21)</f>
        <v>42775.155387742139</v>
      </c>
    </row>
    <row r="23" spans="1:5" ht="17" thickTop="1" x14ac:dyDescent="0.2"/>
    <row r="24" spans="1:5" x14ac:dyDescent="0.2">
      <c r="A24" s="1" t="s">
        <v>117</v>
      </c>
    </row>
    <row r="25" spans="1:5" ht="85" x14ac:dyDescent="0.2">
      <c r="A25" s="20" t="s">
        <v>97</v>
      </c>
      <c r="B25" s="20" t="s">
        <v>118</v>
      </c>
      <c r="C25" s="20" t="s">
        <v>119</v>
      </c>
      <c r="D25" s="20" t="s">
        <v>120</v>
      </c>
      <c r="E25" s="20" t="s">
        <v>121</v>
      </c>
    </row>
    <row r="26" spans="1:5" x14ac:dyDescent="0.2">
      <c r="A26" t="s">
        <v>101</v>
      </c>
      <c r="B26">
        <f>IF(COUNTIF(Cost!$K$6:$K$25,"&lt;0")=0,BED_CAP_TOMATO,_xlfn.MINIFS(Cost!$A$6:$A$25,Cost!$K$6:$K$25,"&lt;0")-1)</f>
        <v>10</v>
      </c>
      <c r="C26" s="17" cm="1">
        <f t="array" ref="C26">INDEX(Cost!$J$5:$J$25,$B26+1)</f>
        <v>8248.114944836816</v>
      </c>
      <c r="D26" cm="1">
        <f t="array" ref="D26">SUMPRODUCT(MAX((Cost!$K$6:$K$25&gt;=0)*Cost!$A$6:$A$25))</f>
        <v>10</v>
      </c>
      <c r="E26" t="str" cm="1">
        <f t="array" ref="E26">IF(SUMPRODUCT(--(Cost!$J$7:$J$25&lt;Cost!$J$6:$J$24))=0,"Yes","No")</f>
        <v>No</v>
      </c>
    </row>
    <row r="27" spans="1:5" x14ac:dyDescent="0.2">
      <c r="A27" t="s">
        <v>102</v>
      </c>
      <c r="B27">
        <f>IF(COUNTIF(Cost!$K$30:$K$49,"&lt;0")=0,BED_CAP_CARROT,_xlfn.MINIFS(Cost!$A$30:$A$49,Cost!$K$30:$K$49,"&lt;0")-1)</f>
        <v>10</v>
      </c>
      <c r="C27" s="17" cm="1">
        <f t="array" ref="C27">INDEX(Cost!$J$29:$J$49,$B27+1)</f>
        <v>2065.3691790371122</v>
      </c>
      <c r="D27" cm="1">
        <f t="array" ref="D27">SUMPRODUCT(MAX((Cost!$K$30:$K$49&gt;=0)*Cost!$A$30:$A$49))</f>
        <v>20</v>
      </c>
      <c r="E27" t="str" cm="1">
        <f t="array" ref="E27">IF(SUMPRODUCT(--(Cost!$J$31:$J$49&lt;Cost!$J$30:$J$48))=0,"Yes","No")</f>
        <v>No</v>
      </c>
    </row>
    <row r="28" spans="1:5" x14ac:dyDescent="0.2">
      <c r="A28" t="s">
        <v>37</v>
      </c>
      <c r="B28">
        <f>IF(COUNTIF(Cost!$K$54:$K$83,"&lt;0")=0,BED_CAP_MESCLUN,_xlfn.MINIFS(Cost!$A$54:$A$83,Cost!$K$54:$K$83,"&lt;0")-1)</f>
        <v>6</v>
      </c>
      <c r="C28" s="17" cm="1">
        <f t="array" ref="C28">INDEX(Cost!$J$53:$J$83,$B28+1)</f>
        <v>2667.2111035862981</v>
      </c>
      <c r="D28" cm="1">
        <f t="array" ref="D28">SUMPRODUCT(MAX((Cost!$K$54:$K$83&gt;=0)*Cost!$A$54:$A$83))</f>
        <v>30</v>
      </c>
      <c r="E28" t="str" cm="1">
        <f t="array" ref="E28">IF(SUMPRODUCT(--(Cost!$J$55:$J$83&lt;Cost!$J$54:$J$82))=0,"Yes","No")</f>
        <v>No</v>
      </c>
    </row>
    <row r="29" spans="1:5" x14ac:dyDescent="0.2">
      <c r="A29" s="12" t="s">
        <v>122</v>
      </c>
    </row>
    <row r="30" spans="1:5" x14ac:dyDescent="0.2">
      <c r="A30" s="1" t="s">
        <v>113</v>
      </c>
    </row>
    <row r="31" spans="1:5" ht="34" x14ac:dyDescent="0.2">
      <c r="A31" s="20" t="s">
        <v>97</v>
      </c>
      <c r="B31" s="20" t="s">
        <v>99</v>
      </c>
      <c r="C31" s="20" t="s">
        <v>114</v>
      </c>
      <c r="D31" s="20" t="s">
        <v>115</v>
      </c>
      <c r="E31" s="20" t="s">
        <v>116</v>
      </c>
    </row>
    <row r="32" spans="1:5" x14ac:dyDescent="0.2">
      <c r="A32" t="s">
        <v>101</v>
      </c>
      <c r="B32">
        <f>BED_CAP_TOMATO</f>
        <v>20</v>
      </c>
      <c r="C32">
        <f>$B$5</f>
        <v>10</v>
      </c>
      <c r="D32" t="str">
        <f>IF($C32&gt;=$B32,"Yes","No")</f>
        <v>No</v>
      </c>
      <c r="E32" s="17">
        <f>IF($D32="No",0,MAX(0,INDEX(Cost!$V$5:$V$26,BED_CAP_TOMATO+2)))</f>
        <v>0</v>
      </c>
    </row>
    <row r="33" spans="1:5" x14ac:dyDescent="0.2">
      <c r="A33" t="s">
        <v>102</v>
      </c>
      <c r="B33">
        <f>BED_CAP_CARROT</f>
        <v>20</v>
      </c>
      <c r="C33">
        <f>$B$6</f>
        <v>20</v>
      </c>
      <c r="D33" t="str">
        <f>IF($C33&gt;=$B33,"Yes","No")</f>
        <v>Yes</v>
      </c>
      <c r="E33" s="17">
        <f>IF($D33="No",0,MAX(0,INDEX(Cost!$V$29:$V$50,BED_CAP_CARROT+2)))</f>
        <v>353.09861957225075</v>
      </c>
    </row>
    <row r="34" spans="1:5" x14ac:dyDescent="0.2">
      <c r="A34" t="s">
        <v>37</v>
      </c>
      <c r="B34">
        <f>BED_CAP_MESCLUN</f>
        <v>30</v>
      </c>
      <c r="C34">
        <f>$B$7</f>
        <v>30</v>
      </c>
      <c r="D34" t="str">
        <f>IF($C34&gt;=$B34,"Yes","No")</f>
        <v>Yes</v>
      </c>
      <c r="E34" s="17">
        <f>IF($D34="No",0,MAX(0,INDEX(Cost!$V$53:$V$84,BED_CAP_MESCLUN+2)))</f>
        <v>246.5745048878598</v>
      </c>
    </row>
    <row r="37" spans="1:5" x14ac:dyDescent="0.2">
      <c r="A37" s="1" t="s">
        <v>123</v>
      </c>
    </row>
    <row r="38" spans="1:5" x14ac:dyDescent="0.2">
      <c r="A38" s="1" t="s">
        <v>124</v>
      </c>
      <c r="B38" t="s">
        <v>125</v>
      </c>
    </row>
    <row r="39" spans="1:5" x14ac:dyDescent="0.2">
      <c r="A39" s="1" t="s">
        <v>126</v>
      </c>
      <c r="B39" t="s">
        <v>127</v>
      </c>
    </row>
    <row r="40" spans="1:5" x14ac:dyDescent="0.2">
      <c r="A40" s="1" t="s">
        <v>128</v>
      </c>
      <c r="B40" t="s">
        <v>129</v>
      </c>
    </row>
    <row r="41" spans="1:5" x14ac:dyDescent="0.2">
      <c r="A41" s="1" t="s">
        <v>130</v>
      </c>
      <c r="B41" t="s">
        <v>131</v>
      </c>
    </row>
    <row r="42" spans="1:5" x14ac:dyDescent="0.2">
      <c r="A42" s="1" t="s">
        <v>132</v>
      </c>
      <c r="B42" t="s">
        <v>133</v>
      </c>
    </row>
    <row r="43" spans="1:5" x14ac:dyDescent="0.2">
      <c r="A43" s="1" t="s">
        <v>134</v>
      </c>
      <c r="B43" t="s">
        <v>135</v>
      </c>
    </row>
    <row r="44" spans="1:5" x14ac:dyDescent="0.2">
      <c r="A44" s="1" t="s">
        <v>136</v>
      </c>
      <c r="B44" t="s">
        <v>137</v>
      </c>
    </row>
    <row r="45" spans="1:5" x14ac:dyDescent="0.2">
      <c r="A45" s="1" t="s">
        <v>138</v>
      </c>
      <c r="B45" t="s">
        <v>139</v>
      </c>
    </row>
    <row r="46" spans="1:5" x14ac:dyDescent="0.2">
      <c r="A46" s="1" t="s">
        <v>140</v>
      </c>
      <c r="B46" t="s">
        <v>141</v>
      </c>
    </row>
    <row r="47" spans="1:5" x14ac:dyDescent="0.2">
      <c r="A47" s="1" t="s">
        <v>142</v>
      </c>
      <c r="B47" t="s">
        <v>143</v>
      </c>
    </row>
    <row r="48" spans="1:5" x14ac:dyDescent="0.2">
      <c r="A48" s="1" t="s">
        <v>144</v>
      </c>
      <c r="B48" t="s">
        <v>145</v>
      </c>
    </row>
    <row r="49" spans="1:2" x14ac:dyDescent="0.2">
      <c r="A49" s="1" t="s">
        <v>146</v>
      </c>
      <c r="B49" t="s">
        <v>147</v>
      </c>
    </row>
    <row r="50" spans="1:2" x14ac:dyDescent="0.2">
      <c r="A50" s="1" t="s">
        <v>148</v>
      </c>
      <c r="B50" t="s">
        <v>149</v>
      </c>
    </row>
    <row r="51" spans="1:2" x14ac:dyDescent="0.2">
      <c r="A51" s="1" t="s">
        <v>150</v>
      </c>
      <c r="B51" t="s">
        <v>151</v>
      </c>
    </row>
    <row r="52" spans="1:2" x14ac:dyDescent="0.2">
      <c r="A52" s="1" t="s">
        <v>152</v>
      </c>
      <c r="B52" t="s">
        <v>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32341-5EBC-C747-AD36-ABF38EBC1756}">
  <dimension ref="A1:E29"/>
  <sheetViews>
    <sheetView workbookViewId="0"/>
  </sheetViews>
  <sheetFormatPr baseColWidth="10" defaultRowHeight="16" x14ac:dyDescent="0.2"/>
  <cols>
    <col min="1" max="1" width="50" customWidth="1"/>
    <col min="2" max="5" width="15.83203125" customWidth="1"/>
    <col min="6" max="6" width="41.6640625" customWidth="1"/>
    <col min="7" max="7" width="25" customWidth="1"/>
  </cols>
  <sheetData>
    <row r="1" spans="1:5" ht="19" x14ac:dyDescent="0.25">
      <c r="A1" s="2" t="s">
        <v>154</v>
      </c>
    </row>
    <row r="2" spans="1:5" x14ac:dyDescent="0.2">
      <c r="A2" s="12" t="str">
        <f>"Labor costing mode: "&amp;Optimization!$B$15</f>
        <v>Labor costing mode: Fractional temp hours</v>
      </c>
    </row>
    <row r="4" spans="1:5" x14ac:dyDescent="0.2">
      <c r="A4" s="1" t="s">
        <v>155</v>
      </c>
    </row>
    <row r="5" spans="1:5" ht="17" x14ac:dyDescent="0.2">
      <c r="A5" s="20" t="s">
        <v>156</v>
      </c>
      <c r="B5" s="20" t="s">
        <v>157</v>
      </c>
      <c r="C5" s="20" t="s">
        <v>158</v>
      </c>
      <c r="D5" s="20" t="s">
        <v>159</v>
      </c>
      <c r="E5" s="20" t="s">
        <v>160</v>
      </c>
    </row>
    <row r="6" spans="1:5" x14ac:dyDescent="0.2">
      <c r="A6" t="s">
        <v>161</v>
      </c>
      <c r="B6" s="30">
        <f>1*2.5*36*1.1</f>
        <v>99.000000000000014</v>
      </c>
      <c r="C6" s="16">
        <f>Labor!$B$6</f>
        <v>99.000000000000014</v>
      </c>
      <c r="D6" s="16">
        <f>$C$6-$B$6</f>
        <v>0</v>
      </c>
      <c r="E6" t="str">
        <f>IF(ROUND($D$6,6)=0,"PASS","FAIL")</f>
        <v>PASS</v>
      </c>
    </row>
    <row r="7" spans="1:5" x14ac:dyDescent="0.2">
      <c r="B7" s="4"/>
    </row>
    <row r="8" spans="1:5" x14ac:dyDescent="0.2">
      <c r="A8" s="1" t="s">
        <v>162</v>
      </c>
      <c r="B8" s="4"/>
    </row>
    <row r="9" spans="1:5" ht="17" x14ac:dyDescent="0.2">
      <c r="A9" s="20" t="s">
        <v>163</v>
      </c>
      <c r="B9" s="31" t="s">
        <v>164</v>
      </c>
      <c r="C9" s="20" t="s">
        <v>165</v>
      </c>
      <c r="D9" s="20" t="s">
        <v>159</v>
      </c>
      <c r="E9" s="20" t="s">
        <v>160</v>
      </c>
    </row>
    <row r="10" spans="1:5" x14ac:dyDescent="0.2">
      <c r="A10" t="s">
        <v>166</v>
      </c>
      <c r="B10" s="4">
        <v>10</v>
      </c>
      <c r="C10" s="15">
        <f>Optimization!$B$5</f>
        <v>10</v>
      </c>
      <c r="D10" s="15">
        <f>$C10-$B10</f>
        <v>0</v>
      </c>
      <c r="E10" t="str">
        <f>IF(ROUND($D10,2)=0,"PASS","FAIL")</f>
        <v>PASS</v>
      </c>
    </row>
    <row r="11" spans="1:5" x14ac:dyDescent="0.2">
      <c r="A11" t="s">
        <v>167</v>
      </c>
      <c r="B11" s="4">
        <v>20</v>
      </c>
      <c r="C11" s="15">
        <f>Optimization!$B$6</f>
        <v>20</v>
      </c>
      <c r="D11" s="15">
        <f t="shared" ref="D11:D13" si="0">$C11-$B11</f>
        <v>0</v>
      </c>
      <c r="E11" t="str">
        <f t="shared" ref="E11:E13" si="1">IF(ROUND($D11,2)=0,"PASS","FAIL")</f>
        <v>PASS</v>
      </c>
    </row>
    <row r="12" spans="1:5" x14ac:dyDescent="0.2">
      <c r="A12" t="s">
        <v>168</v>
      </c>
      <c r="B12" s="4">
        <v>30</v>
      </c>
      <c r="C12" s="15">
        <f>Optimization!$B$7</f>
        <v>30</v>
      </c>
      <c r="D12" s="15">
        <f t="shared" si="0"/>
        <v>0</v>
      </c>
      <c r="E12" t="str">
        <f t="shared" si="1"/>
        <v>PASS</v>
      </c>
    </row>
    <row r="13" spans="1:5" x14ac:dyDescent="0.2">
      <c r="A13" t="s">
        <v>112</v>
      </c>
      <c r="B13" s="32">
        <v>42762</v>
      </c>
      <c r="C13" s="29">
        <f>Optimization!$B$22</f>
        <v>42775.155387742139</v>
      </c>
      <c r="D13" s="29">
        <f t="shared" si="0"/>
        <v>13.155387742139283</v>
      </c>
      <c r="E13" t="str">
        <f>IF(ROUND($D13,2)=0,"PASS","FAIL")</f>
        <v>FAIL</v>
      </c>
    </row>
    <row r="15" spans="1:5" x14ac:dyDescent="0.2">
      <c r="A15" s="1" t="s">
        <v>169</v>
      </c>
    </row>
    <row r="16" spans="1:5" ht="17" x14ac:dyDescent="0.2">
      <c r="A16" s="20" t="s">
        <v>170</v>
      </c>
      <c r="B16" s="20" t="s">
        <v>171</v>
      </c>
      <c r="C16" s="20" t="s">
        <v>172</v>
      </c>
      <c r="D16" s="20" t="s">
        <v>173</v>
      </c>
      <c r="E16" s="20" t="s">
        <v>160</v>
      </c>
    </row>
    <row r="17" spans="1:5" x14ac:dyDescent="0.2">
      <c r="A17" t="s">
        <v>174</v>
      </c>
      <c r="B17">
        <f>BED_CAP_TOMATO</f>
        <v>20</v>
      </c>
      <c r="C17" s="15">
        <f>Optimization!$B$5</f>
        <v>10</v>
      </c>
      <c r="D17" s="15">
        <f>$B17-$C17</f>
        <v>10</v>
      </c>
      <c r="E17" t="str">
        <f>IF($C17&lt;=$B17,"SATISFIED","VIOLATED")</f>
        <v>SATISFIED</v>
      </c>
    </row>
    <row r="18" spans="1:5" x14ac:dyDescent="0.2">
      <c r="A18" t="s">
        <v>175</v>
      </c>
      <c r="B18">
        <f>BED_CAP_CARROT</f>
        <v>20</v>
      </c>
      <c r="C18" s="15">
        <f>Optimization!$B$6</f>
        <v>20</v>
      </c>
      <c r="D18" s="15">
        <f t="shared" ref="D18:D21" si="2">$B18-$C18</f>
        <v>0</v>
      </c>
      <c r="E18" t="str">
        <f t="shared" ref="E18:E21" si="3">IF($C18&lt;=$B18,"SATISFIED","VIOLATED")</f>
        <v>SATISFIED</v>
      </c>
    </row>
    <row r="19" spans="1:5" x14ac:dyDescent="0.2">
      <c r="A19" t="s">
        <v>176</v>
      </c>
      <c r="B19">
        <f>BED_CAP_MESCLUN</f>
        <v>30</v>
      </c>
      <c r="C19" s="15">
        <f>Optimization!$B$7</f>
        <v>30</v>
      </c>
      <c r="D19" s="15">
        <f t="shared" si="2"/>
        <v>0</v>
      </c>
      <c r="E19" t="str">
        <f t="shared" si="3"/>
        <v>SATISFIED</v>
      </c>
    </row>
    <row r="20" spans="1:5" x14ac:dyDescent="0.2">
      <c r="A20" t="s">
        <v>177</v>
      </c>
      <c r="B20">
        <f>TOTAL_BEDS</f>
        <v>64</v>
      </c>
      <c r="C20" s="15">
        <f>Optimization!$B$8</f>
        <v>60</v>
      </c>
      <c r="D20" s="15">
        <f t="shared" si="2"/>
        <v>4</v>
      </c>
      <c r="E20" t="str">
        <f t="shared" si="3"/>
        <v>SATISFIED</v>
      </c>
    </row>
    <row r="21" spans="1:5" x14ac:dyDescent="0.2">
      <c r="A21" t="s">
        <v>178</v>
      </c>
      <c r="B21">
        <f>TEMP_WORKERS_MAX</f>
        <v>4</v>
      </c>
      <c r="C21" s="16">
        <f>Optimization!$B$12</f>
        <v>3.1644603099501518</v>
      </c>
      <c r="D21" s="16">
        <f t="shared" si="2"/>
        <v>0.83553969004984818</v>
      </c>
      <c r="E21" t="str">
        <f t="shared" si="3"/>
        <v>SATISFIED</v>
      </c>
    </row>
    <row r="23" spans="1:5" x14ac:dyDescent="0.2">
      <c r="A23" s="1" t="s">
        <v>179</v>
      </c>
    </row>
    <row r="24" spans="1:5" ht="17" x14ac:dyDescent="0.2">
      <c r="A24" s="20" t="s">
        <v>156</v>
      </c>
      <c r="B24" s="20" t="s">
        <v>180</v>
      </c>
      <c r="C24" s="20" t="s">
        <v>165</v>
      </c>
      <c r="D24" s="20" t="s">
        <v>159</v>
      </c>
      <c r="E24" s="20" t="s">
        <v>160</v>
      </c>
    </row>
    <row r="25" spans="1:5" x14ac:dyDescent="0.2">
      <c r="A25" t="s">
        <v>181</v>
      </c>
      <c r="B25">
        <v>0</v>
      </c>
      <c r="C25" cm="1">
        <f t="array" ref="C25">SUMPRODUCT(--ISERROR(Labor!$B$5:$D$36))+SUMPRODUCT(--ISERROR(Labor!$H$4:$H$19))+SUMPRODUCT(--ISERROR(Cost!$B$5:$L$25))+SUMPRODUCT(--ISERROR(Cost!$B$29:$L$49))+SUMPRODUCT(--ISERROR(Cost!$B$53:$L$83))+SUMPRODUCT(--ISERROR(Cost!$O$5:$V$26))+SUMPRODUCT(--ISERROR(Cost!$O$29:$V$50))+SUMPRODUCT(--ISERROR(Cost!$O$53:$V$84))+SUMPRODUCT(--ISERROR(Optimization!$B$8:$D$8))+SUMPRODUCT(--ISERROR(Optimization!$C$5:$D$7))+SUMPRODUCT(--ISERROR(Optimization!$B$11:$B$15))+SUMPRODUCT(--ISERROR(Optimization!$B$18:$B$22))+SUMPRODUCT(--ISERROR(Optimization!$B$26:$E$28))+SUMPRODUCT(--ISERROR(Optimization!$B$32:$E$34))</f>
        <v>0</v>
      </c>
      <c r="D25">
        <f>$C25-$B25</f>
        <v>0</v>
      </c>
      <c r="E25" t="str">
        <f>IF($C25=$B25,"PASS","FAIL")</f>
        <v>PASS</v>
      </c>
    </row>
    <row r="26" spans="1:5" x14ac:dyDescent="0.2">
      <c r="A26" t="s">
        <v>182</v>
      </c>
      <c r="B26">
        <v>0</v>
      </c>
      <c r="C26" cm="1">
        <f t="array" ref="C26">SUMPRODUCT(--NOT(_xlfn.ISFORMULA(Labor!$B$5:$D$36)))+SUMPRODUCT(--NOT(_xlfn.ISFORMULA(Labor!$H$4:$H$19)))+SUMPRODUCT(--NOT(_xlfn.ISFORMULA(Cost!$B$5:$L$25)))+SUMPRODUCT(--NOT(_xlfn.ISFORMULA(Cost!$B$29:$L$49)))+SUMPRODUCT(--NOT(_xlfn.ISFORMULA(Cost!$B$53:$L$83)))+SUMPRODUCT(--NOT(_xlfn.ISFORMULA(Cost!$O$5:$V$26)))+SUMPRODUCT(--NOT(_xlfn.ISFORMULA(Cost!$O$29:$V$50)))+SUMPRODUCT(--NOT(_xlfn.ISFORMULA(Cost!$O$53:$V$84)))+SUMPRODUCT(--NOT(_xlfn.ISFORMULA(Optimization!$B$8:$D$8)))+SUMPRODUCT(--NOT(_xlfn.ISFORMULA(Optimization!$C$5:$D$7)))+SUMPRODUCT(--NOT(_xlfn.ISFORMULA(Optimization!$B$11:$B$15)))+SUMPRODUCT(--NOT(_xlfn.ISFORMULA(Optimization!$B$18:$B$22)))+SUMPRODUCT(--NOT(_xlfn.ISFORMULA(Optimization!$B$26:$E$28)))+SUMPRODUCT(--NOT(_xlfn.ISFORMULA(Optimization!$B$32:$E$34)))</f>
        <v>3</v>
      </c>
      <c r="D26">
        <f>$C26-$B26</f>
        <v>3</v>
      </c>
      <c r="E26" t="str">
        <f>IF($C26=$B26,"PASS","FAIL")</f>
        <v>FAIL</v>
      </c>
    </row>
    <row r="28" spans="1:5" x14ac:dyDescent="0.2">
      <c r="A28" s="1" t="s">
        <v>183</v>
      </c>
    </row>
    <row r="29" spans="1:5" x14ac:dyDescent="0.2">
      <c r="A29" s="1" t="s">
        <v>184</v>
      </c>
      <c r="B29" s="1" t="str">
        <f>IF(AND(COUNTIF($E$6,"FAIL")=0,COUNTIF($E$10:$E$13,"FAIL")=0,COUNTIF($E$17:$E$21,"VIOLATED")=0,COUNTIF($E$25:$E$26,"FAIL")=0),"ALL PASS","SEE FAILURES ABOVE")</f>
        <v>SEE FAILURES ABOVE</v>
      </c>
    </row>
  </sheetData>
  <conditionalFormatting sqref="E6">
    <cfRule type="containsText" dxfId="41" priority="1" operator="containsText" text="PASS">
      <formula>NOT(ISERROR(SEARCH("PASS",E6)))</formula>
    </cfRule>
  </conditionalFormatting>
  <conditionalFormatting sqref="E6">
    <cfRule type="containsText" dxfId="40" priority="2" operator="containsText" text="SATISFIED">
      <formula>NOT(ISERROR(SEARCH("SATISFIED",E6)))</formula>
    </cfRule>
  </conditionalFormatting>
  <conditionalFormatting sqref="E6">
    <cfRule type="containsText" dxfId="39" priority="3" operator="containsText" text="ALL PASS">
      <formula>NOT(ISERROR(SEARCH("ALL PASS",E6)))</formula>
    </cfRule>
  </conditionalFormatting>
  <conditionalFormatting sqref="E6">
    <cfRule type="containsText" dxfId="38" priority="4" operator="containsText" text="FAIL">
      <formula>NOT(ISERROR(SEARCH("FAIL",E6)))</formula>
    </cfRule>
  </conditionalFormatting>
  <conditionalFormatting sqref="E6">
    <cfRule type="containsText" dxfId="37" priority="5" operator="containsText" text="VIOLATED">
      <formula>NOT(ISERROR(SEARCH("VIOLATED",E6)))</formula>
    </cfRule>
  </conditionalFormatting>
  <conditionalFormatting sqref="E6">
    <cfRule type="containsText" dxfId="36" priority="6" operator="containsText" text="SEE FAILURES">
      <formula>NOT(ISERROR(SEARCH("SEE FAILURES",E6)))</formula>
    </cfRule>
  </conditionalFormatting>
  <conditionalFormatting sqref="E10:E13">
    <cfRule type="containsText" dxfId="35" priority="7" operator="containsText" text="PASS">
      <formula>NOT(ISERROR(SEARCH("PASS",E10)))</formula>
    </cfRule>
  </conditionalFormatting>
  <conditionalFormatting sqref="E10:E13">
    <cfRule type="containsText" dxfId="34" priority="8" operator="containsText" text="SATISFIED">
      <formula>NOT(ISERROR(SEARCH("SATISFIED",E10)))</formula>
    </cfRule>
  </conditionalFormatting>
  <conditionalFormatting sqref="E10:E13">
    <cfRule type="containsText" dxfId="33" priority="9" operator="containsText" text="ALL PASS">
      <formula>NOT(ISERROR(SEARCH("ALL PASS",E10)))</formula>
    </cfRule>
  </conditionalFormatting>
  <conditionalFormatting sqref="E10:E13">
    <cfRule type="containsText" dxfId="32" priority="10" operator="containsText" text="FAIL">
      <formula>NOT(ISERROR(SEARCH("FAIL",E10)))</formula>
    </cfRule>
  </conditionalFormatting>
  <conditionalFormatting sqref="E10:E13">
    <cfRule type="containsText" dxfId="31" priority="11" operator="containsText" text="VIOLATED">
      <formula>NOT(ISERROR(SEARCH("VIOLATED",E10)))</formula>
    </cfRule>
  </conditionalFormatting>
  <conditionalFormatting sqref="E10:E13">
    <cfRule type="containsText" dxfId="30" priority="12" operator="containsText" text="SEE FAILURES">
      <formula>NOT(ISERROR(SEARCH("SEE FAILURES",E10)))</formula>
    </cfRule>
  </conditionalFormatting>
  <conditionalFormatting sqref="E17:E21">
    <cfRule type="containsText" dxfId="29" priority="13" operator="containsText" text="PASS">
      <formula>NOT(ISERROR(SEARCH("PASS",E17)))</formula>
    </cfRule>
  </conditionalFormatting>
  <conditionalFormatting sqref="E17:E21">
    <cfRule type="containsText" dxfId="28" priority="14" operator="containsText" text="SATISFIED">
      <formula>NOT(ISERROR(SEARCH("SATISFIED",E17)))</formula>
    </cfRule>
  </conditionalFormatting>
  <conditionalFormatting sqref="E17:E21">
    <cfRule type="containsText" dxfId="27" priority="15" operator="containsText" text="ALL PASS">
      <formula>NOT(ISERROR(SEARCH("ALL PASS",E17)))</formula>
    </cfRule>
  </conditionalFormatting>
  <conditionalFormatting sqref="E17:E21">
    <cfRule type="containsText" dxfId="26" priority="16" operator="containsText" text="FAIL">
      <formula>NOT(ISERROR(SEARCH("FAIL",E17)))</formula>
    </cfRule>
  </conditionalFormatting>
  <conditionalFormatting sqref="E17:E21">
    <cfRule type="containsText" dxfId="25" priority="17" operator="containsText" text="VIOLATED">
      <formula>NOT(ISERROR(SEARCH("VIOLATED",E17)))</formula>
    </cfRule>
  </conditionalFormatting>
  <conditionalFormatting sqref="E17:E21">
    <cfRule type="containsText" dxfId="24" priority="18" operator="containsText" text="SEE FAILURES">
      <formula>NOT(ISERROR(SEARCH("SEE FAILURES",E17)))</formula>
    </cfRule>
  </conditionalFormatting>
  <conditionalFormatting sqref="E25:E26">
    <cfRule type="containsText" dxfId="23" priority="19" operator="containsText" text="PASS">
      <formula>NOT(ISERROR(SEARCH("PASS",E25)))</formula>
    </cfRule>
  </conditionalFormatting>
  <conditionalFormatting sqref="E25:E26">
    <cfRule type="containsText" dxfId="22" priority="20" operator="containsText" text="SATISFIED">
      <formula>NOT(ISERROR(SEARCH("SATISFIED",E25)))</formula>
    </cfRule>
  </conditionalFormatting>
  <conditionalFormatting sqref="E25:E26">
    <cfRule type="containsText" dxfId="21" priority="21" operator="containsText" text="ALL PASS">
      <formula>NOT(ISERROR(SEARCH("ALL PASS",E25)))</formula>
    </cfRule>
  </conditionalFormatting>
  <conditionalFormatting sqref="E25:E26">
    <cfRule type="containsText" dxfId="20" priority="22" operator="containsText" text="FAIL">
      <formula>NOT(ISERROR(SEARCH("FAIL",E25)))</formula>
    </cfRule>
  </conditionalFormatting>
  <conditionalFormatting sqref="E25:E26">
    <cfRule type="containsText" dxfId="19" priority="23" operator="containsText" text="VIOLATED">
      <formula>NOT(ISERROR(SEARCH("VIOLATED",E25)))</formula>
    </cfRule>
  </conditionalFormatting>
  <conditionalFormatting sqref="E25:E26">
    <cfRule type="containsText" dxfId="18" priority="24" operator="containsText" text="SEE FAILURES">
      <formula>NOT(ISERROR(SEARCH("SEE FAILURES",E25)))</formula>
    </cfRule>
  </conditionalFormatting>
  <conditionalFormatting sqref="B29">
    <cfRule type="containsText" dxfId="17" priority="25" operator="containsText" text="PASS">
      <formula>NOT(ISERROR(SEARCH("PASS",B29)))</formula>
    </cfRule>
  </conditionalFormatting>
  <conditionalFormatting sqref="B29">
    <cfRule type="containsText" dxfId="16" priority="26" operator="containsText" text="SATISFIED">
      <formula>NOT(ISERROR(SEARCH("SATISFIED",B29)))</formula>
    </cfRule>
  </conditionalFormatting>
  <conditionalFormatting sqref="B29">
    <cfRule type="containsText" dxfId="15" priority="27" operator="containsText" text="ALL PASS">
      <formula>NOT(ISERROR(SEARCH("ALL PASS",B29)))</formula>
    </cfRule>
  </conditionalFormatting>
  <conditionalFormatting sqref="B29">
    <cfRule type="containsText" dxfId="14" priority="28" operator="containsText" text="FAIL">
      <formula>NOT(ISERROR(SEARCH("FAIL",B29)))</formula>
    </cfRule>
  </conditionalFormatting>
  <conditionalFormatting sqref="B29">
    <cfRule type="containsText" dxfId="13" priority="29" operator="containsText" text="VIOLATED">
      <formula>NOT(ISERROR(SEARCH("VIOLATED",B29)))</formula>
    </cfRule>
  </conditionalFormatting>
  <conditionalFormatting sqref="B29">
    <cfRule type="containsText" dxfId="12" priority="30" operator="containsText" text="SEE FAILURES">
      <formula>NOT(ISERROR(SEARCH("SEE FAILURES",B29)))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25</vt:i4>
      </vt:variant>
    </vt:vector>
  </HeadingPairs>
  <TitlesOfParts>
    <vt:vector size="30" baseType="lpstr">
      <vt:lpstr>Inputs</vt:lpstr>
      <vt:lpstr>Labor</vt:lpstr>
      <vt:lpstr>Cost</vt:lpstr>
      <vt:lpstr>Optimization</vt:lpstr>
      <vt:lpstr>Checks</vt:lpstr>
      <vt:lpstr>BED_CAP_CARROT</vt:lpstr>
      <vt:lpstr>BED_CAP_MESCLUN</vt:lpstr>
      <vt:lpstr>BED_CAP_TOMATO</vt:lpstr>
      <vt:lpstr>DIM_PCT_CARROT</vt:lpstr>
      <vt:lpstr>DIM_PCT_MESCLUN</vt:lpstr>
      <vt:lpstr>DIM_PCT_TOMATO</vt:lpstr>
      <vt:lpstr>FARMER_HOURS</vt:lpstr>
      <vt:lpstr>FARMER_WAGE</vt:lpstr>
      <vt:lpstr>FERT_CARROT</vt:lpstr>
      <vt:lpstr>FERT_MESCLUN</vt:lpstr>
      <vt:lpstr>FERT_TOMATO</vt:lpstr>
      <vt:lpstr>FIXED_COST</vt:lpstr>
      <vt:lpstr>HRS_PER_BED_CARROT</vt:lpstr>
      <vt:lpstr>HRS_PER_BED_MESCLUN</vt:lpstr>
      <vt:lpstr>HRS_PER_BED_TOMATO</vt:lpstr>
      <vt:lpstr>LABOR_MODE</vt:lpstr>
      <vt:lpstr>PRICE_CARROT</vt:lpstr>
      <vt:lpstr>PRICE_MESCLUN</vt:lpstr>
      <vt:lpstr>PRICE_TOMATO</vt:lpstr>
      <vt:lpstr>PROFIT</vt:lpstr>
      <vt:lpstr>TEMP_HOURS_PER_WORKER</vt:lpstr>
      <vt:lpstr>TEMP_WAGE</vt:lpstr>
      <vt:lpstr>TEMP_WORKERS_MAX</vt:lpstr>
      <vt:lpstr>TOTAL_BEDS</vt:lpstr>
      <vt:lpstr>WEEKS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Ethel Sumibcay</dc:creator>
  <cp:lastModifiedBy>Ethel Sumibcay</cp:lastModifiedBy>
  <dcterms:created xsi:type="dcterms:W3CDTF">2026-08-30T04:15:09Z</dcterms:created>
  <dcterms:modified xsi:type="dcterms:W3CDTF">2026-08-30T05:07:23Z</dcterms:modified>
</cp:coreProperties>
</file>